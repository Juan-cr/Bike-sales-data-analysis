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0" documentId="8_{43780761-2ACE-45BC-9719-6F8E2EF62E34}" xr6:coauthVersionLast="47" xr6:coauthVersionMax="47" xr10:uidLastSave="{00000000-0000-0000-0000-000000000000}"/>
  <bookViews>
    <workbookView xWindow="900" yWindow="675" windowWidth="26235" windowHeight="14040" firstSheet="5" activeTab="5" xr2:uid="{00000000-000D-0000-FFFF-FFFF00000000}"/>
  </bookViews>
  <sheets>
    <sheet name="Bike Sales" sheetId="1" r:id="rId1"/>
    <sheet name="Revenue by Age" sheetId="4" r:id="rId2"/>
    <sheet name="Revenue by F and M" sheetId="5" r:id="rId3"/>
    <sheet name="Most popular bike" sheetId="6" r:id="rId4"/>
    <sheet name="Analysis" sheetId="3" r:id="rId5"/>
    <sheet name="Visualization" sheetId="2" r:id="rId6"/>
  </sheets>
  <calcPr calcId="191028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0" i="1" l="1"/>
  <c r="T43" i="1"/>
  <c r="T50" i="1"/>
  <c r="T44" i="1"/>
  <c r="T71" i="1"/>
  <c r="T76" i="1"/>
  <c r="T2" i="1"/>
  <c r="T17" i="1"/>
  <c r="T14" i="1"/>
  <c r="T51" i="1"/>
  <c r="T77" i="1"/>
  <c r="T29" i="1"/>
  <c r="T60" i="1"/>
  <c r="T52" i="1"/>
  <c r="T72" i="1"/>
  <c r="T18" i="1"/>
  <c r="T45" i="1"/>
  <c r="T3" i="1"/>
  <c r="T11" i="1"/>
  <c r="T46" i="1"/>
  <c r="T19" i="1"/>
  <c r="T34" i="1"/>
  <c r="T67" i="1"/>
  <c r="T47" i="1"/>
  <c r="T35" i="1"/>
  <c r="T73" i="1"/>
  <c r="T78" i="1"/>
  <c r="T79" i="1"/>
  <c r="T53" i="1"/>
  <c r="T26" i="1"/>
  <c r="T36" i="1"/>
  <c r="T61" i="1"/>
  <c r="T80" i="1"/>
  <c r="T81" i="1"/>
  <c r="T4" i="1"/>
  <c r="T20" i="1"/>
  <c r="T37" i="1"/>
  <c r="T54" i="1"/>
  <c r="T82" i="1"/>
  <c r="T24" i="1"/>
  <c r="T83" i="1"/>
  <c r="T74" i="1"/>
  <c r="T75" i="1"/>
  <c r="T48" i="1"/>
  <c r="T84" i="1"/>
  <c r="T55" i="1"/>
  <c r="T85" i="1"/>
  <c r="T38" i="1"/>
  <c r="T39" i="1"/>
  <c r="T64" i="1"/>
  <c r="T49" i="1"/>
  <c r="T56" i="1"/>
  <c r="T68" i="1"/>
  <c r="T5" i="1"/>
  <c r="T15" i="1"/>
  <c r="T27" i="1"/>
  <c r="T30" i="1"/>
  <c r="T31" i="1"/>
  <c r="T65" i="1"/>
  <c r="T86" i="1"/>
  <c r="T12" i="1"/>
  <c r="T6" i="1"/>
  <c r="T13" i="1"/>
  <c r="T21" i="1"/>
  <c r="T22" i="1"/>
  <c r="T23" i="1"/>
  <c r="T7" i="1"/>
  <c r="T40" i="1"/>
  <c r="T41" i="1"/>
  <c r="T87" i="1"/>
  <c r="T8" i="1"/>
  <c r="T9" i="1"/>
  <c r="T25" i="1"/>
  <c r="T57" i="1"/>
  <c r="T58" i="1"/>
  <c r="T28" i="1"/>
  <c r="T42" i="1"/>
  <c r="T32" i="1"/>
  <c r="T33" i="1"/>
  <c r="T59" i="1"/>
  <c r="T66" i="1"/>
  <c r="T62" i="1"/>
  <c r="T69" i="1"/>
  <c r="T88" i="1"/>
  <c r="T63" i="1"/>
  <c r="T89" i="1"/>
  <c r="T10" i="1"/>
  <c r="T16" i="1"/>
  <c r="U70" i="1"/>
  <c r="U43" i="1"/>
  <c r="U50" i="1"/>
  <c r="U44" i="1"/>
  <c r="U71" i="1"/>
  <c r="U76" i="1"/>
  <c r="U2" i="1"/>
  <c r="U17" i="1"/>
  <c r="U14" i="1"/>
  <c r="U51" i="1"/>
  <c r="U77" i="1"/>
  <c r="U29" i="1"/>
  <c r="U60" i="1"/>
  <c r="U52" i="1"/>
  <c r="U72" i="1"/>
  <c r="U18" i="1"/>
  <c r="U45" i="1"/>
  <c r="U3" i="1"/>
  <c r="U11" i="1"/>
  <c r="U46" i="1"/>
  <c r="U19" i="1"/>
  <c r="U34" i="1"/>
  <c r="U67" i="1"/>
  <c r="U47" i="1"/>
  <c r="U35" i="1"/>
  <c r="U73" i="1"/>
  <c r="U78" i="1"/>
  <c r="U79" i="1"/>
  <c r="U53" i="1"/>
  <c r="U26" i="1"/>
  <c r="U36" i="1"/>
  <c r="U61" i="1"/>
  <c r="U80" i="1"/>
  <c r="U81" i="1"/>
  <c r="U4" i="1"/>
  <c r="U20" i="1"/>
  <c r="U37" i="1"/>
  <c r="U54" i="1"/>
  <c r="U82" i="1"/>
  <c r="U24" i="1"/>
  <c r="U83" i="1"/>
  <c r="U74" i="1"/>
  <c r="U75" i="1"/>
  <c r="U48" i="1"/>
  <c r="U84" i="1"/>
  <c r="U55" i="1"/>
  <c r="U85" i="1"/>
  <c r="U38" i="1"/>
  <c r="U39" i="1"/>
  <c r="U64" i="1"/>
  <c r="U49" i="1"/>
  <c r="U56" i="1"/>
  <c r="U68" i="1"/>
  <c r="U5" i="1"/>
  <c r="U15" i="1"/>
  <c r="U27" i="1"/>
  <c r="U30" i="1"/>
  <c r="U31" i="1"/>
  <c r="U65" i="1"/>
  <c r="U86" i="1"/>
  <c r="U12" i="1"/>
  <c r="U6" i="1"/>
  <c r="U13" i="1"/>
  <c r="U21" i="1"/>
  <c r="U22" i="1"/>
  <c r="U23" i="1"/>
  <c r="U7" i="1"/>
  <c r="U40" i="1"/>
  <c r="U41" i="1"/>
  <c r="U87" i="1"/>
  <c r="U8" i="1"/>
  <c r="U9" i="1"/>
  <c r="U25" i="1"/>
  <c r="U57" i="1"/>
  <c r="U58" i="1"/>
  <c r="U28" i="1"/>
  <c r="U42" i="1"/>
  <c r="U32" i="1"/>
  <c r="U33" i="1"/>
  <c r="U59" i="1"/>
  <c r="U66" i="1"/>
  <c r="U62" i="1"/>
  <c r="U69" i="1"/>
  <c r="U88" i="1"/>
  <c r="U63" i="1"/>
  <c r="U89" i="1"/>
  <c r="U10" i="1"/>
  <c r="U16" i="1"/>
</calcChain>
</file>

<file path=xl/sharedStrings.xml><?xml version="1.0" encoding="utf-8"?>
<sst xmlns="http://schemas.openxmlformats.org/spreadsheetml/2006/main" count="952" uniqueCount="157">
  <si>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</si>
  <si>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</si>
  <si>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</si>
  <si>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</si>
  <si>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</si>
  <si>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</si>
  <si>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</si>
  <si>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</si>
  <si>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</si>
  <si>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</si>
  <si>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</si>
  <si>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</si>
  <si>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Model</t>
  </si>
  <si>
    <t>Color</t>
  </si>
  <si>
    <t>Size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</si>
  <si>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</si>
  <si>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</si>
  <si>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</si>
  <si>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</si>
  <si>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</si>
  <si>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</si>
  <si>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000261702</t>
  </si>
  <si>
    <t>December</t>
  </si>
  <si>
    <t>Young Adults (25-34)</t>
  </si>
  <si>
    <t>Female</t>
  </si>
  <si>
    <t>Australia</t>
  </si>
  <si>
    <t>New South Wales</t>
  </si>
  <si>
    <t>Bikes</t>
  </si>
  <si>
    <t>Mountain Bikes</t>
  </si>
  <si>
    <t>Mountain-400-W</t>
  </si>
  <si>
    <t>Silver</t>
  </si>
  <si>
    <t>000261713</t>
  </si>
  <si>
    <t>Youth (&lt;25)</t>
  </si>
  <si>
    <t>Mountain-500</t>
  </si>
  <si>
    <t>000261730</t>
  </si>
  <si>
    <t>Adults (35-64)</t>
  </si>
  <si>
    <t>Mountain-200</t>
  </si>
  <si>
    <t>000261749</t>
  </si>
  <si>
    <t>000261757</t>
  </si>
  <si>
    <t>Victoria</t>
  </si>
  <si>
    <t>Black</t>
  </si>
  <si>
    <t>000261762</t>
  </si>
  <si>
    <t>Queensland</t>
  </si>
  <si>
    <t>000261766</t>
  </si>
  <si>
    <t>Mountain-100</t>
  </si>
  <si>
    <t>000261767</t>
  </si>
  <si>
    <t>Male</t>
  </si>
  <si>
    <t>000261782</t>
  </si>
  <si>
    <t>000261714</t>
  </si>
  <si>
    <t>Canada</t>
  </si>
  <si>
    <t>British Columbia</t>
  </si>
  <si>
    <t>000261756</t>
  </si>
  <si>
    <t>France</t>
  </si>
  <si>
    <t>Nord</t>
  </si>
  <si>
    <t>000261758</t>
  </si>
  <si>
    <t>Seine (Paris)</t>
  </si>
  <si>
    <t>000261704</t>
  </si>
  <si>
    <t>Germany</t>
  </si>
  <si>
    <t>Nordrhein-Westfalen</t>
  </si>
  <si>
    <t>000261750</t>
  </si>
  <si>
    <t>000261695</t>
  </si>
  <si>
    <t>United States</t>
  </si>
  <si>
    <t>California</t>
  </si>
  <si>
    <t>000261703</t>
  </si>
  <si>
    <t>000261711</t>
  </si>
  <si>
    <t>000261716</t>
  </si>
  <si>
    <t>000261731</t>
  </si>
  <si>
    <t>000261759</t>
  </si>
  <si>
    <t>Oregon</t>
  </si>
  <si>
    <t>000261760</t>
  </si>
  <si>
    <t>000261761</t>
  </si>
  <si>
    <t>h</t>
  </si>
  <si>
    <t>000261768</t>
  </si>
  <si>
    <t>000261725</t>
  </si>
  <si>
    <t>000261751</t>
  </si>
  <si>
    <t>Seine Saint Denis</t>
  </si>
  <si>
    <t>000261771</t>
  </si>
  <si>
    <t>Somme</t>
  </si>
  <si>
    <t>000261707</t>
  </si>
  <si>
    <t>United Kingdom</t>
  </si>
  <si>
    <t>England</t>
  </si>
  <si>
    <t>000261752</t>
  </si>
  <si>
    <t>000261753</t>
  </si>
  <si>
    <t>000261773</t>
  </si>
  <si>
    <t>Washington</t>
  </si>
  <si>
    <t>000261774</t>
  </si>
  <si>
    <t>000261717</t>
  </si>
  <si>
    <t>000261720</t>
  </si>
  <si>
    <t>000261726</t>
  </si>
  <si>
    <t>000261732</t>
  </si>
  <si>
    <t>000261743</t>
  </si>
  <si>
    <t>000261744</t>
  </si>
  <si>
    <t>000261763</t>
  </si>
  <si>
    <t>South Australia</t>
  </si>
  <si>
    <t>000261764</t>
  </si>
  <si>
    <t>Hessen</t>
  </si>
  <si>
    <t>000261772</t>
  </si>
  <si>
    <t>000261697</t>
  </si>
  <si>
    <t>000261699</t>
  </si>
  <si>
    <t>000261712</t>
  </si>
  <si>
    <t>000261715</t>
  </si>
  <si>
    <t>000261719</t>
  </si>
  <si>
    <t>000261739</t>
  </si>
  <si>
    <t>000261746</t>
  </si>
  <si>
    <t>000261698</t>
  </si>
  <si>
    <t>000261705</t>
  </si>
  <si>
    <t>000261709</t>
  </si>
  <si>
    <t>000261724</t>
  </si>
  <si>
    <t>000261733</t>
  </si>
  <si>
    <t>000261741</t>
  </si>
  <si>
    <t>000261747</t>
  </si>
  <si>
    <t>000261769</t>
  </si>
  <si>
    <t>000261770</t>
  </si>
  <si>
    <t>000261775</t>
  </si>
  <si>
    <t>000261708</t>
  </si>
  <si>
    <t>000261727</t>
  </si>
  <si>
    <t>000261777</t>
  </si>
  <si>
    <t>000261780</t>
  </si>
  <si>
    <t>000261745</t>
  </si>
  <si>
    <t>Seine et Marne</t>
  </si>
  <si>
    <t>000261754</t>
  </si>
  <si>
    <t>000261776</t>
  </si>
  <si>
    <t>000261718</t>
  </si>
  <si>
    <t>Hamburg</t>
  </si>
  <si>
    <t>000261748</t>
  </si>
  <si>
    <t>000261778</t>
  </si>
  <si>
    <t>000261696</t>
  </si>
  <si>
    <t>000261700</t>
  </si>
  <si>
    <t>000261710</t>
  </si>
  <si>
    <t>000261721</t>
  </si>
  <si>
    <t>000261737</t>
  </si>
  <si>
    <t>000261738</t>
  </si>
  <si>
    <t>000261701</t>
  </si>
  <si>
    <t>000261706</t>
  </si>
  <si>
    <t>000261722</t>
  </si>
  <si>
    <t>000261723</t>
  </si>
  <si>
    <t>000261728</t>
  </si>
  <si>
    <t>000261729</t>
  </si>
  <si>
    <t>000261734</t>
  </si>
  <si>
    <t>000261736</t>
  </si>
  <si>
    <t>000261740</t>
  </si>
  <si>
    <t>000261742</t>
  </si>
  <si>
    <t>000261755</t>
  </si>
  <si>
    <t>000261765</t>
  </si>
  <si>
    <t>000261779</t>
  </si>
  <si>
    <t>000261781</t>
  </si>
  <si>
    <t>Sum of Revenue</t>
  </si>
  <si>
    <t>Grand Total</t>
  </si>
  <si>
    <t>Sum of Order_Quantity</t>
  </si>
  <si>
    <t>Mountain-100 Total</t>
  </si>
  <si>
    <t>Mountain-200 Total</t>
  </si>
  <si>
    <t>Mountain-500 Total</t>
  </si>
  <si>
    <t>Black Total</t>
  </si>
  <si>
    <t>Mountain-400-W Total</t>
  </si>
  <si>
    <t>Silver Total</t>
  </si>
  <si>
    <t xml:space="preserve">Total Revenue: $362,852.00 </t>
  </si>
  <si>
    <t>Juan Carlos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</si>
</sst>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36"/>
      <color rgb="FF000000"/>
      <name val="Calibri"/>
      <scheme val="minor"/>
    </font>
    <font>
      <b/>
      <i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9" fillId="0" borderId="0" xfId="0" applyFont="1"/>
    <xf numFmtId="0" fontId="21" fillId="0" borderId="0" xfId="0" applyFont="1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22" fillId="0" borderId="0" xfId="0" applyFont="1"/>
    <xf numFmtId="0" fontId="0" fillId="0" borderId="0" xfId="0" applyAlignment="1">
      <alignment wrapText="1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[Bike_Sales_Project_Portfolio.xlsx]Analysis!BikeSales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Analysis!$A$4:$A$10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France</c:v>
                </c:pt>
                <c:pt idx="3">
                  <c:v>United Kingdom</c:v>
                </c:pt>
                <c:pt idx="4">
                  <c:v>Germany</c:v>
                </c:pt>
                <c:pt idx="5">
                  <c:v>Canada</c:v>
                </c:pt>
              </c:strCache>
            </c:strRef>
          </c:cat>
          <c:val>
            <c:numRef>
              <c:f>Analysis!$B$4:$B$10</c:f>
              <c:numCache>
                <c:formatCode>General</c:formatCode>
                <c:ptCount val="6"/>
                <c:pt idx="0">
                  <c:v>69</c:v>
                </c:pt>
                <c:pt idx="1">
                  <c:v>63</c:v>
                </c:pt>
                <c:pt idx="2">
                  <c:v>20</c:v>
                </c:pt>
                <c:pt idx="3">
                  <c:v>14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D-47FA-A4D7-432C80BF8CD1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Analysis!$A$4:$A$10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France</c:v>
                </c:pt>
                <c:pt idx="3">
                  <c:v>United Kingdom</c:v>
                </c:pt>
                <c:pt idx="4">
                  <c:v>Germany</c:v>
                </c:pt>
                <c:pt idx="5">
                  <c:v>Canada</c:v>
                </c:pt>
              </c:strCache>
            </c:strRef>
          </c:cat>
          <c:val>
            <c:numRef>
              <c:f>Analysis!$C$4:$C$10</c:f>
              <c:numCache>
                <c:formatCode>"$"#,##0.00_);[Red]\("$"#,##0.00\)</c:formatCode>
                <c:ptCount val="6"/>
                <c:pt idx="0">
                  <c:v>135109</c:v>
                </c:pt>
                <c:pt idx="1">
                  <c:v>111506</c:v>
                </c:pt>
                <c:pt idx="2">
                  <c:v>46175</c:v>
                </c:pt>
                <c:pt idx="3">
                  <c:v>19972</c:v>
                </c:pt>
                <c:pt idx="4">
                  <c:v>30010</c:v>
                </c:pt>
                <c:pt idx="5">
                  <c:v>20080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D-47FA-A4D7-432C80BF8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2131847"/>
        <c:axId val="732135431"/>
      </c:barChart>
      <c:catAx>
        <c:axId val="732131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35431"/>
        <c:crosses val="autoZero"/>
        <c:auto val="1"/>
        <c:lblAlgn val="ctr"/>
        <c:lblOffset val="100"/>
        <c:noMultiLvlLbl val="0"/>
      </c:catAx>
      <c:valAx>
        <c:axId val="732135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3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[Bike_Sales_Project_Portfolio.xlsx]Analysis!BikeSales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Analysis!$A$4:$A$10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France</c:v>
                </c:pt>
                <c:pt idx="3">
                  <c:v>United Kingdom</c:v>
                </c:pt>
                <c:pt idx="4">
                  <c:v>Germany</c:v>
                </c:pt>
                <c:pt idx="5">
                  <c:v>Canada</c:v>
                </c:pt>
              </c:strCache>
            </c:strRef>
          </c:cat>
          <c:val>
            <c:numRef>
              <c:f>Analysis!$B$4:$B$10</c:f>
              <c:numCache>
                <c:formatCode>General</c:formatCode>
                <c:ptCount val="6"/>
                <c:pt idx="0">
                  <c:v>69</c:v>
                </c:pt>
                <c:pt idx="1">
                  <c:v>63</c:v>
                </c:pt>
                <c:pt idx="2">
                  <c:v>20</c:v>
                </c:pt>
                <c:pt idx="3">
                  <c:v>14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E-415A-A864-575A6117720C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Analysis!$A$4:$A$10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France</c:v>
                </c:pt>
                <c:pt idx="3">
                  <c:v>United Kingdom</c:v>
                </c:pt>
                <c:pt idx="4">
                  <c:v>Germany</c:v>
                </c:pt>
                <c:pt idx="5">
                  <c:v>Canada</c:v>
                </c:pt>
              </c:strCache>
            </c:strRef>
          </c:cat>
          <c:val>
            <c:numRef>
              <c:f>Analysis!$C$4:$C$10</c:f>
              <c:numCache>
                <c:formatCode>"$"#,##0.00_);[Red]\("$"#,##0.00\)</c:formatCode>
                <c:ptCount val="6"/>
                <c:pt idx="0">
                  <c:v>135109</c:v>
                </c:pt>
                <c:pt idx="1">
                  <c:v>111506</c:v>
                </c:pt>
                <c:pt idx="2">
                  <c:v>46175</c:v>
                </c:pt>
                <c:pt idx="3">
                  <c:v>19972</c:v>
                </c:pt>
                <c:pt idx="4">
                  <c:v>30010</c:v>
                </c:pt>
                <c:pt idx="5">
                  <c:v>20080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5E-415A-A864-575A6117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1512967"/>
        <c:axId val="1521515015"/>
      </c:barChart>
      <c:catAx>
        <c:axId val="1521512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15015"/>
        <c:crosses val="autoZero"/>
        <c:auto val="1"/>
        <c:lblAlgn val="ctr"/>
        <c:lblOffset val="100"/>
        <c:noMultiLvlLbl val="0"/>
      </c:catAx>
      <c:valAx>
        <c:axId val="1521515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12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[Bike_Sales_Project_Portfolio.xlsx]Revenue by Age!PivotTable1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Age'!$A$4:$A$7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'Revenue by Age'!$B$4:$B$7</c:f>
              <c:numCache>
                <c:formatCode>"$"#,##0.00_);[Red]\("$"#,##0.00\)</c:formatCode>
                <c:ptCount val="3"/>
                <c:pt idx="0">
                  <c:v>205581</c:v>
                </c:pt>
                <c:pt idx="1">
                  <c:v>119646</c:v>
                </c:pt>
                <c:pt idx="2">
                  <c:v>37625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A-4933-8455-2B434B8F0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1260679"/>
        <c:axId val="1219043335"/>
      </c:barChart>
      <c:catAx>
        <c:axId val="1151260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043335"/>
        <c:crosses val="autoZero"/>
        <c:auto val="1"/>
        <c:lblAlgn val="ctr"/>
        <c:lblOffset val="100"/>
        <c:noMultiLvlLbl val="0"/>
      </c:catAx>
      <c:valAx>
        <c:axId val="1219043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260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[Bike_Sales_Project_Portfolio.xlsx]Revenue by F and M!PivotTable2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F and M'!$B$3:$B$4</c:f>
              <c:strCache>
                <c:ptCount val="1"/>
                <c:pt idx="0">
                  <c:v>Adults (35-64)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B-4368-8922-162F2715C3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B-4368-8922-162F2715C3BB}"/>
              </c:ext>
            </c:extLst>
          </c:dPt>
          <c:cat>
            <c:strRef>
              <c:f>'Revenue by F and M'!$A$5:$A$7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'Revenue by F and M'!$B$5:$B$7</c:f>
              <c:numCache>
                <c:formatCode>"$"#,##0.00_);[Red]\("$"#,##0.00\)</c:formatCode>
                <c:ptCount val="2"/>
                <c:pt idx="0">
                  <c:v>117403</c:v>
                </c:pt>
                <c:pt idx="1">
                  <c:v>88178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B-4368-8922-162F2715C3BB}"/>
            </c:ext>
          </c:extLst>
        </c:ser>
        <c:ser>
          <c:idx val="1"/>
          <c:order val="1"/>
          <c:tx>
            <c:strRef>
              <c:f>'Revenue by F and M'!$C$3:$C$4</c:f>
              <c:strCache>
                <c:ptCount val="1"/>
                <c:pt idx="0">
                  <c:v>Young Adults (25-34)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'Revenue by F and M'!$A$5:$A$7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'Revenue by F and M'!$C$5:$C$7</c:f>
              <c:numCache>
                <c:formatCode>"$"#,##0.00_);[Red]\("$"#,##0.00\)</c:formatCode>
                <c:ptCount val="2"/>
                <c:pt idx="0">
                  <c:v>79141</c:v>
                </c:pt>
                <c:pt idx="1">
                  <c:v>40505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B-40F1-A7B4-F7431C0864D0}"/>
            </c:ext>
          </c:extLst>
        </c:ser>
        <c:ser>
          <c:idx val="2"/>
          <c:order val="2"/>
          <c:tx>
            <c:strRef>
              <c:f>'Revenue by F and M'!$D$3:$D$4</c:f>
              <c:strCache>
                <c:ptCount val="1"/>
                <c:pt idx="0">
                  <c:v>Youth (&lt;25)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'Revenue by F and M'!$A$5:$A$7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'Revenue by F and M'!$D$5:$D$7</c:f>
              <c:numCache>
                <c:formatCode>"$"#,##0.00_);[Red]\("$"#,##0.00\)</c:formatCode>
                <c:ptCount val="2"/>
                <c:pt idx="0">
                  <c:v>21125</c:v>
                </c:pt>
                <c:pt idx="1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B-40F1-A7B4-F7431C08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95250</xdr:rowOff>
    </xdr:from>
    <xdr:to>
      <xdr:col>9</xdr:col>
      <xdr:colOff>552450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39500-ADEE-353C-CDDF-0B1DA942C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161925</xdr:rowOff>
    </xdr:from>
    <xdr:to>
      <xdr:col>10</xdr:col>
      <xdr:colOff>123825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D4DF5-7FBA-CD0F-FCE7-1E1279EDC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142875</xdr:colOff>
      <xdr:row>1</xdr:row>
      <xdr:rowOff>171450</xdr:rowOff>
    </xdr:from>
    <xdr:to>
      <xdr:col>17</xdr:col>
      <xdr:colOff>590550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5EEB9-F43B-A610-1EE3-720E5EBEBAA0}"/>
            </a:ext>
            <a:ext uri="{147F2762-F138-4A5C-976F-8EAC2B608ADB}">
              <a16:predDERef xmlns:a16="http://schemas.microsoft.com/office/drawing/2014/main" pred="{86DD4DF5-7FBA-CD0F-FCE7-1E1279EDC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171450</xdr:colOff>
      <xdr:row>17</xdr:row>
      <xdr:rowOff>161925</xdr:rowOff>
    </xdr:from>
    <xdr:to>
      <xdr:col>14</xdr:col>
      <xdr:colOff>304800</xdr:colOff>
      <xdr:row>32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C05010-CE00-A8C1-680C-FEA28AC22551}"/>
            </a:ext>
            <a:ext uri="{147F2762-F138-4A5C-976F-8EAC2B608ADB}">
              <a16:predDERef xmlns:a16="http://schemas.microsoft.com/office/drawing/2014/main" pred="{41F5EEB9-F43B-A610-1EE3-720E5EBEB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935080671297" createdVersion="8" refreshedVersion="8" minRefreshableVersion="3" recordCount="88" xr:uid="{9807DD00-73C2-4E28-916D-8BF5B7A080B0}">
  <cacheSource type="worksheet">
    <worksheetSource name="BikeSales"/>
  </cacheSource>
  <cacheFields count="21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Young Adults (25-34)"/>
        <s v="Adults (35-64)"/>
        <s v="Youth (&lt;25)"/>
      </sharedItems>
    </cacheField>
    <cacheField name="Customer_Gender" numFmtId="0">
      <sharedItems count="2">
        <s v="Female"/>
        <s v="Male"/>
      </sharedItems>
    </cacheField>
    <cacheField name="Country" numFmtId="0">
      <sharedItems count="6">
        <s v="Australia"/>
        <s v="Canada"/>
        <s v="France"/>
        <s v="Germany"/>
        <s v="United Kingdom"/>
        <s v="United States"/>
      </sharedItems>
    </cacheField>
    <cacheField name="State" numFmtId="0">
      <sharedItems/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Model" numFmtId="0">
      <sharedItems count="4">
        <s v="Mountain-400-W"/>
        <s v="Mountain-200"/>
        <s v="Mountain-500"/>
        <s v="Mountain-100"/>
      </sharedItems>
    </cacheField>
    <cacheField name="Color" numFmtId="0">
      <sharedItems count="2">
        <s v="Silver"/>
        <s v="Black"/>
      </sharedItems>
    </cacheField>
    <cacheField name="Size" numFmtId="0">
      <sharedItems containsSemiMixedTypes="0" containsString="0" containsNumber="1" containsInteger="1" minValue="38" maxValue="52" count="7">
        <n v="42"/>
        <n v="38"/>
        <n v="46"/>
        <n v="44"/>
        <n v="40"/>
        <n v="52"/>
        <n v="48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8"/>
    <d v="2021-12-02T00:00:00"/>
    <n v="2"/>
    <s v="December"/>
    <n v="2021"/>
    <n v="31"/>
    <x v="0"/>
    <x v="0"/>
    <x v="0"/>
    <s v="New South Wales"/>
    <x v="0"/>
    <x v="0"/>
    <x v="0"/>
    <x v="0"/>
    <x v="0"/>
    <n v="1"/>
    <n v="420"/>
    <n v="769"/>
    <n v="349"/>
    <n v="420"/>
    <n v="769"/>
  </r>
  <r>
    <s v="000261702"/>
    <d v="2021-12-04T00:00:00"/>
    <n v="4"/>
    <s v="December"/>
    <n v="2021"/>
    <n v="31"/>
    <x v="0"/>
    <x v="0"/>
    <x v="0"/>
    <s v="New South Wales"/>
    <x v="0"/>
    <x v="0"/>
    <x v="0"/>
    <x v="0"/>
    <x v="0"/>
    <n v="4"/>
    <n v="420"/>
    <n v="769"/>
    <n v="1396"/>
    <n v="1680"/>
    <n v="3076"/>
  </r>
  <r>
    <s v="000261705"/>
    <d v="2021-12-05T00:00:00"/>
    <n v="5"/>
    <s v="December"/>
    <n v="2021"/>
    <n v="35"/>
    <x v="1"/>
    <x v="0"/>
    <x v="0"/>
    <s v="Queensland"/>
    <x v="0"/>
    <x v="0"/>
    <x v="1"/>
    <x v="0"/>
    <x v="1"/>
    <n v="1"/>
    <n v="1266"/>
    <n v="2320"/>
    <n v="1054"/>
    <n v="1266"/>
    <n v="2320"/>
  </r>
  <r>
    <s v="000261709"/>
    <d v="2021-12-06T00:00:00"/>
    <n v="6"/>
    <s v="December"/>
    <n v="2021"/>
    <n v="36"/>
    <x v="2"/>
    <x v="1"/>
    <x v="0"/>
    <s v="New South Wales"/>
    <x v="0"/>
    <x v="0"/>
    <x v="1"/>
    <x v="1"/>
    <x v="0"/>
    <n v="1"/>
    <n v="1252"/>
    <n v="2295"/>
    <n v="1043"/>
    <n v="1252"/>
    <n v="2295"/>
  </r>
  <r>
    <s v="000261713"/>
    <d v="2021-12-08T00:00:00"/>
    <n v="8"/>
    <s v="December"/>
    <n v="2021"/>
    <n v="19"/>
    <x v="2"/>
    <x v="0"/>
    <x v="0"/>
    <s v="New South Wales"/>
    <x v="0"/>
    <x v="0"/>
    <x v="2"/>
    <x v="0"/>
    <x v="0"/>
    <n v="4"/>
    <n v="308"/>
    <n v="565"/>
    <n v="1028"/>
    <n v="1232"/>
    <n v="2260"/>
  </r>
  <r>
    <s v="000261717"/>
    <d v="2021-12-09T00:00:00"/>
    <n v="9"/>
    <s v="December"/>
    <n v="2021"/>
    <n v="33"/>
    <x v="0"/>
    <x v="0"/>
    <x v="0"/>
    <s v="Victoria"/>
    <x v="0"/>
    <x v="0"/>
    <x v="3"/>
    <x v="1"/>
    <x v="1"/>
    <n v="2"/>
    <n v="1898"/>
    <n v="3375"/>
    <n v="2954"/>
    <n v="3796"/>
    <n v="6750"/>
  </r>
  <r>
    <s v="000261720"/>
    <d v="2021-12-10T00:00:00"/>
    <n v="10"/>
    <s v="December"/>
    <n v="2021"/>
    <n v="40"/>
    <x v="1"/>
    <x v="1"/>
    <x v="0"/>
    <s v="New South Wales"/>
    <x v="0"/>
    <x v="0"/>
    <x v="1"/>
    <x v="1"/>
    <x v="0"/>
    <n v="2"/>
    <n v="1252"/>
    <n v="2295"/>
    <n v="2086"/>
    <n v="2504"/>
    <n v="4590"/>
  </r>
  <r>
    <s v="000261724"/>
    <d v="2021-12-10T00:00:00"/>
    <n v="10"/>
    <s v="December"/>
    <n v="2021"/>
    <n v="38"/>
    <x v="1"/>
    <x v="1"/>
    <x v="0"/>
    <s v="New South Wales"/>
    <x v="0"/>
    <x v="0"/>
    <x v="1"/>
    <x v="1"/>
    <x v="1"/>
    <n v="1"/>
    <n v="1252"/>
    <n v="2295"/>
    <n v="1043"/>
    <n v="1252"/>
    <n v="2295"/>
  </r>
  <r>
    <s v="000261726"/>
    <d v="2021-12-11T00:00:00"/>
    <n v="11"/>
    <s v="December"/>
    <n v="2021"/>
    <n v="41"/>
    <x v="1"/>
    <x v="0"/>
    <x v="0"/>
    <s v="New South Wales"/>
    <x v="0"/>
    <x v="0"/>
    <x v="0"/>
    <x v="0"/>
    <x v="1"/>
    <n v="2"/>
    <n v="420"/>
    <n v="769"/>
    <n v="698"/>
    <n v="840"/>
    <n v="1538"/>
  </r>
  <r>
    <s v="000261730"/>
    <d v="2021-12-12T00:00:00"/>
    <n v="12"/>
    <s v="December"/>
    <n v="2021"/>
    <n v="36"/>
    <x v="1"/>
    <x v="0"/>
    <x v="0"/>
    <s v="New South Wales"/>
    <x v="0"/>
    <x v="0"/>
    <x v="1"/>
    <x v="0"/>
    <x v="0"/>
    <n v="4"/>
    <n v="1266"/>
    <n v="2320"/>
    <n v="4216"/>
    <n v="5064"/>
    <n v="9280"/>
  </r>
  <r>
    <s v="000261732"/>
    <d v="2021-12-12T00:00:00"/>
    <n v="12"/>
    <s v="December"/>
    <n v="2021"/>
    <n v="34"/>
    <x v="0"/>
    <x v="1"/>
    <x v="0"/>
    <s v="New South Wales"/>
    <x v="0"/>
    <x v="0"/>
    <x v="1"/>
    <x v="1"/>
    <x v="1"/>
    <n v="2"/>
    <n v="1252"/>
    <n v="2295"/>
    <n v="2086"/>
    <n v="2504"/>
    <n v="4590"/>
  </r>
  <r>
    <s v="000261733"/>
    <d v="2021-12-12T00:00:00"/>
    <n v="12"/>
    <s v="December"/>
    <n v="2021"/>
    <n v="35"/>
    <x v="1"/>
    <x v="0"/>
    <x v="0"/>
    <s v="Victoria"/>
    <x v="0"/>
    <x v="0"/>
    <x v="1"/>
    <x v="0"/>
    <x v="0"/>
    <n v="1"/>
    <n v="1266"/>
    <n v="2320"/>
    <n v="1054"/>
    <n v="1266"/>
    <n v="2320"/>
  </r>
  <r>
    <s v="000261735"/>
    <d v="2021-12-13T00:00:00"/>
    <n v="13"/>
    <s v="December"/>
    <n v="2021"/>
    <n v="32"/>
    <x v="0"/>
    <x v="0"/>
    <x v="0"/>
    <s v="Queensland"/>
    <x v="0"/>
    <x v="0"/>
    <x v="1"/>
    <x v="0"/>
    <x v="0"/>
    <n v="3"/>
    <n v="1266"/>
    <n v="2320"/>
    <n v="3162"/>
    <n v="3798"/>
    <n v="6960"/>
  </r>
  <r>
    <s v="000261741"/>
    <d v="2021-12-14T00:00:00"/>
    <n v="14"/>
    <s v="December"/>
    <n v="2021"/>
    <n v="32"/>
    <x v="0"/>
    <x v="0"/>
    <x v="0"/>
    <s v="Victoria"/>
    <x v="0"/>
    <x v="0"/>
    <x v="0"/>
    <x v="0"/>
    <x v="2"/>
    <n v="1"/>
    <n v="420"/>
    <n v="769"/>
    <n v="349"/>
    <n v="420"/>
    <n v="769"/>
  </r>
  <r>
    <s v="000261743"/>
    <d v="2021-12-16T00:00:00"/>
    <n v="16"/>
    <s v="December"/>
    <n v="2021"/>
    <n v="33"/>
    <x v="0"/>
    <x v="0"/>
    <x v="0"/>
    <s v="New South Wales"/>
    <x v="0"/>
    <x v="0"/>
    <x v="1"/>
    <x v="1"/>
    <x v="1"/>
    <n v="2"/>
    <n v="1252"/>
    <n v="2295"/>
    <n v="2086"/>
    <n v="2504"/>
    <n v="4590"/>
  </r>
  <r>
    <s v="000261744"/>
    <d v="2021-12-16T00:00:00"/>
    <n v="16"/>
    <s v="December"/>
    <n v="2021"/>
    <n v="38"/>
    <x v="1"/>
    <x v="1"/>
    <x v="0"/>
    <s v="New South Wales"/>
    <x v="0"/>
    <x v="0"/>
    <x v="1"/>
    <x v="1"/>
    <x v="1"/>
    <n v="2"/>
    <n v="1252"/>
    <n v="2295"/>
    <n v="2086"/>
    <n v="2504"/>
    <n v="4590"/>
  </r>
  <r>
    <s v="000261747"/>
    <d v="2021-12-17T00:00:00"/>
    <n v="17"/>
    <s v="December"/>
    <n v="2021"/>
    <n v="31"/>
    <x v="0"/>
    <x v="1"/>
    <x v="0"/>
    <s v="New South Wales"/>
    <x v="0"/>
    <x v="0"/>
    <x v="0"/>
    <x v="0"/>
    <x v="0"/>
    <n v="1"/>
    <n v="420"/>
    <n v="769"/>
    <n v="349"/>
    <n v="420"/>
    <n v="769"/>
  </r>
  <r>
    <s v="000261749"/>
    <d v="2021-12-18T00:00:00"/>
    <n v="18"/>
    <s v="December"/>
    <n v="2021"/>
    <n v="35"/>
    <x v="1"/>
    <x v="0"/>
    <x v="0"/>
    <s v="New South Wales"/>
    <x v="0"/>
    <x v="0"/>
    <x v="2"/>
    <x v="0"/>
    <x v="0"/>
    <n v="4"/>
    <n v="308"/>
    <n v="565"/>
    <n v="1028"/>
    <n v="1232"/>
    <n v="2260"/>
  </r>
  <r>
    <s v="000261757"/>
    <d v="2021-12-19T00:00:00"/>
    <n v="19"/>
    <s v="December"/>
    <n v="2021"/>
    <n v="19"/>
    <x v="2"/>
    <x v="0"/>
    <x v="0"/>
    <s v="Victoria"/>
    <x v="0"/>
    <x v="0"/>
    <x v="2"/>
    <x v="1"/>
    <x v="3"/>
    <n v="4"/>
    <n v="295"/>
    <n v="540"/>
    <n v="980"/>
    <n v="1180"/>
    <n v="2160"/>
  </r>
  <r>
    <s v="000261762"/>
    <d v="2021-12-19T00:00:00"/>
    <n v="19"/>
    <s v="December"/>
    <n v="2021"/>
    <n v="63"/>
    <x v="1"/>
    <x v="0"/>
    <x v="0"/>
    <s v="Queensland"/>
    <x v="0"/>
    <x v="0"/>
    <x v="1"/>
    <x v="1"/>
    <x v="2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0"/>
    <s v="South Australia"/>
    <x v="0"/>
    <x v="0"/>
    <x v="2"/>
    <x v="1"/>
    <x v="4"/>
    <n v="2"/>
    <n v="295"/>
    <n v="540"/>
    <n v="490"/>
    <n v="590"/>
    <n v="1080"/>
  </r>
  <r>
    <s v="000261766"/>
    <d v="2021-12-20T00:00:00"/>
    <n v="20"/>
    <s v="December"/>
    <n v="2021"/>
    <n v="33"/>
    <x v="0"/>
    <x v="0"/>
    <x v="0"/>
    <s v="Victoria"/>
    <x v="0"/>
    <x v="0"/>
    <x v="3"/>
    <x v="1"/>
    <x v="1"/>
    <n v="4"/>
    <n v="1898"/>
    <n v="3375"/>
    <n v="5908"/>
    <n v="7592"/>
    <n v="13500"/>
  </r>
  <r>
    <s v="000261767"/>
    <d v="2021-12-20T00:00:00"/>
    <n v="20"/>
    <s v="December"/>
    <n v="2021"/>
    <n v="57"/>
    <x v="1"/>
    <x v="1"/>
    <x v="0"/>
    <s v="Queensland"/>
    <x v="0"/>
    <x v="0"/>
    <x v="1"/>
    <x v="1"/>
    <x v="2"/>
    <n v="4"/>
    <n v="1252"/>
    <n v="2295"/>
    <n v="4172"/>
    <n v="5008"/>
    <n v="9180"/>
  </r>
  <r>
    <s v="000261769"/>
    <d v="2021-12-20T00:00:00"/>
    <n v="20"/>
    <s v="December"/>
    <n v="2021"/>
    <n v="35"/>
    <x v="1"/>
    <x v="0"/>
    <x v="0"/>
    <s v="Queensland"/>
    <x v="0"/>
    <x v="0"/>
    <x v="1"/>
    <x v="0"/>
    <x v="1"/>
    <n v="1"/>
    <n v="1266"/>
    <n v="2320"/>
    <n v="1054"/>
    <n v="1266"/>
    <n v="2320"/>
  </r>
  <r>
    <s v="000261770"/>
    <d v="2021-12-20T00:00:00"/>
    <n v="20"/>
    <s v="December"/>
    <n v="2021"/>
    <n v="35"/>
    <x v="1"/>
    <x v="1"/>
    <x v="0"/>
    <s v="Victoria"/>
    <x v="0"/>
    <x v="0"/>
    <x v="1"/>
    <x v="0"/>
    <x v="1"/>
    <n v="1"/>
    <n v="1266"/>
    <n v="2320"/>
    <n v="1054"/>
    <n v="1266"/>
    <n v="2320"/>
  </r>
  <r>
    <s v="000261775"/>
    <d v="2021-12-22T00:00:00"/>
    <n v="22"/>
    <s v="December"/>
    <n v="2021"/>
    <n v="19"/>
    <x v="2"/>
    <x v="0"/>
    <x v="0"/>
    <s v="New South Wales"/>
    <x v="0"/>
    <x v="0"/>
    <x v="2"/>
    <x v="0"/>
    <x v="0"/>
    <n v="1"/>
    <n v="308"/>
    <n v="565"/>
    <n v="257"/>
    <n v="308"/>
    <n v="565"/>
  </r>
  <r>
    <s v="000261782"/>
    <d v="2021-12-24T00:00:00"/>
    <n v="24"/>
    <s v="December"/>
    <n v="2021"/>
    <n v="38"/>
    <x v="1"/>
    <x v="1"/>
    <x v="0"/>
    <s v="Queensland"/>
    <x v="0"/>
    <x v="0"/>
    <x v="1"/>
    <x v="1"/>
    <x v="0"/>
    <n v="4"/>
    <n v="1252"/>
    <n v="2295"/>
    <n v="4172"/>
    <n v="5008"/>
    <n v="9180"/>
  </r>
  <r>
    <s v="000261708"/>
    <d v="2021-12-06T00:00:00"/>
    <n v="6"/>
    <s v="December"/>
    <n v="2021"/>
    <n v="27"/>
    <x v="0"/>
    <x v="1"/>
    <x v="1"/>
    <s v="British Columbia"/>
    <x v="0"/>
    <x v="0"/>
    <x v="1"/>
    <x v="1"/>
    <x v="2"/>
    <n v="1"/>
    <n v="1252"/>
    <n v="2295"/>
    <n v="1043"/>
    <n v="1252"/>
    <n v="2295"/>
  </r>
  <r>
    <s v="000261714"/>
    <d v="2021-12-08T00:00:00"/>
    <n v="8"/>
    <s v="December"/>
    <n v="2021"/>
    <n v="30"/>
    <x v="0"/>
    <x v="0"/>
    <x v="1"/>
    <s v="British Columbia"/>
    <x v="0"/>
    <x v="0"/>
    <x v="1"/>
    <x v="0"/>
    <x v="1"/>
    <n v="4"/>
    <n v="1266"/>
    <n v="2320"/>
    <n v="4216"/>
    <n v="5064"/>
    <n v="9280"/>
  </r>
  <r>
    <s v="000261727"/>
    <d v="2021-12-11T00:00:00"/>
    <n v="11"/>
    <s v="December"/>
    <n v="2021"/>
    <n v="27"/>
    <x v="0"/>
    <x v="1"/>
    <x v="1"/>
    <s v="British Columbia"/>
    <x v="0"/>
    <x v="0"/>
    <x v="1"/>
    <x v="1"/>
    <x v="2"/>
    <n v="1"/>
    <n v="1252"/>
    <n v="2295"/>
    <n v="1043"/>
    <n v="1252"/>
    <n v="2295"/>
  </r>
  <r>
    <s v="000261768"/>
    <d v="2021-12-20T00:00:00"/>
    <n v="20"/>
    <s v="December"/>
    <n v="2021"/>
    <n v="29"/>
    <x v="0"/>
    <x v="1"/>
    <x v="1"/>
    <s v="British Columbia"/>
    <x v="0"/>
    <x v="0"/>
    <x v="2"/>
    <x v="1"/>
    <x v="5"/>
    <n v="3"/>
    <n v="295"/>
    <n v="540"/>
    <n v="735"/>
    <n v="885"/>
    <n v="1620"/>
  </r>
  <r>
    <s v="000261777"/>
    <d v="2021-12-22T00:00:00"/>
    <n v="22"/>
    <s v="December"/>
    <n v="2021"/>
    <n v="27"/>
    <x v="0"/>
    <x v="0"/>
    <x v="1"/>
    <s v="British Columbia"/>
    <x v="0"/>
    <x v="0"/>
    <x v="1"/>
    <x v="1"/>
    <x v="2"/>
    <n v="1"/>
    <n v="1252"/>
    <n v="2295"/>
    <n v="1043"/>
    <n v="1252"/>
    <n v="2295"/>
  </r>
  <r>
    <s v="000261780"/>
    <d v="2021-12-23T00:00:00"/>
    <n v="23"/>
    <s v="December"/>
    <n v="2021"/>
    <n v="31"/>
    <x v="0"/>
    <x v="0"/>
    <x v="1"/>
    <s v="British Columbia"/>
    <x v="0"/>
    <x v="0"/>
    <x v="1"/>
    <x v="1"/>
    <x v="0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2"/>
    <s v="Seine (Paris)"/>
    <x v="0"/>
    <x v="0"/>
    <x v="1"/>
    <x v="1"/>
    <x v="1"/>
    <n v="3"/>
    <n v="1252"/>
    <n v="2295"/>
    <n v="3129"/>
    <n v="3756"/>
    <n v="6885"/>
  </r>
  <r>
    <s v="000261745"/>
    <d v="2021-12-16T00:00:00"/>
    <n v="16"/>
    <s v="December"/>
    <n v="2021"/>
    <n v="27"/>
    <x v="0"/>
    <x v="0"/>
    <x v="2"/>
    <s v="Seine et Marne"/>
    <x v="0"/>
    <x v="0"/>
    <x v="1"/>
    <x v="0"/>
    <x v="2"/>
    <n v="1"/>
    <n v="1266"/>
    <n v="2320"/>
    <n v="1054"/>
    <n v="1266"/>
    <n v="2320"/>
  </r>
  <r>
    <s v="000261751"/>
    <d v="2021-12-18T00:00:00"/>
    <n v="18"/>
    <s v="December"/>
    <n v="2021"/>
    <n v="24"/>
    <x v="2"/>
    <x v="0"/>
    <x v="2"/>
    <s v="Seine Saint Denis"/>
    <x v="0"/>
    <x v="0"/>
    <x v="1"/>
    <x v="0"/>
    <x v="1"/>
    <n v="3"/>
    <n v="1266"/>
    <n v="2320"/>
    <n v="3162"/>
    <n v="3798"/>
    <n v="6960"/>
  </r>
  <r>
    <s v="000261754"/>
    <d v="2021-12-18T00:00:00"/>
    <n v="18"/>
    <s v="December"/>
    <n v="2021"/>
    <n v="26"/>
    <x v="0"/>
    <x v="1"/>
    <x v="2"/>
    <s v="Seine (Paris)"/>
    <x v="0"/>
    <x v="0"/>
    <x v="1"/>
    <x v="1"/>
    <x v="2"/>
    <n v="1"/>
    <n v="1252"/>
    <n v="2295"/>
    <n v="1043"/>
    <n v="1252"/>
    <n v="2295"/>
  </r>
  <r>
    <s v="000261756"/>
    <d v="2021-12-19T00:00:00"/>
    <n v="19"/>
    <s v="December"/>
    <n v="2021"/>
    <n v="17"/>
    <x v="2"/>
    <x v="1"/>
    <x v="2"/>
    <s v="Nord"/>
    <x v="0"/>
    <x v="0"/>
    <x v="1"/>
    <x v="0"/>
    <x v="2"/>
    <n v="4"/>
    <n v="1266"/>
    <n v="2320"/>
    <n v="4216"/>
    <n v="5064"/>
    <n v="9280"/>
  </r>
  <r>
    <s v="000261758"/>
    <d v="2021-12-19T00:00:00"/>
    <n v="19"/>
    <s v="December"/>
    <n v="2021"/>
    <n v="25"/>
    <x v="0"/>
    <x v="1"/>
    <x v="2"/>
    <s v="Seine (Paris)"/>
    <x v="0"/>
    <x v="0"/>
    <x v="1"/>
    <x v="1"/>
    <x v="1"/>
    <n v="4"/>
    <n v="1252"/>
    <n v="2295"/>
    <n v="4172"/>
    <n v="5008"/>
    <n v="9180"/>
  </r>
  <r>
    <s v="000261771"/>
    <d v="2021-12-21T00:00:00"/>
    <n v="21"/>
    <s v="December"/>
    <n v="2021"/>
    <n v="26"/>
    <x v="0"/>
    <x v="1"/>
    <x v="2"/>
    <s v="Somme"/>
    <x v="0"/>
    <x v="0"/>
    <x v="1"/>
    <x v="0"/>
    <x v="1"/>
    <n v="3"/>
    <n v="1266"/>
    <n v="2320"/>
    <n v="3162"/>
    <n v="3798"/>
    <n v="6960"/>
  </r>
  <r>
    <s v="000261776"/>
    <d v="2021-12-22T00:00:00"/>
    <n v="22"/>
    <s v="December"/>
    <n v="2021"/>
    <n v="25"/>
    <x v="0"/>
    <x v="1"/>
    <x v="2"/>
    <s v="Seine (Paris)"/>
    <x v="0"/>
    <x v="0"/>
    <x v="1"/>
    <x v="1"/>
    <x v="1"/>
    <n v="1"/>
    <n v="1252"/>
    <n v="2295"/>
    <n v="1043"/>
    <n v="1252"/>
    <n v="2295"/>
  </r>
  <r>
    <s v="000261704"/>
    <d v="2021-12-05T00:00:00"/>
    <n v="5"/>
    <s v="December"/>
    <n v="2021"/>
    <n v="42"/>
    <x v="1"/>
    <x v="1"/>
    <x v="3"/>
    <s v="Nordrhein-Westfalen"/>
    <x v="0"/>
    <x v="0"/>
    <x v="1"/>
    <x v="1"/>
    <x v="1"/>
    <n v="4"/>
    <n v="1252"/>
    <n v="2295"/>
    <n v="4172"/>
    <n v="5008"/>
    <n v="9180"/>
  </r>
  <r>
    <s v="000261718"/>
    <d v="2021-12-09T00:00:00"/>
    <n v="9"/>
    <s v="December"/>
    <n v="2021"/>
    <n v="41"/>
    <x v="1"/>
    <x v="0"/>
    <x v="3"/>
    <s v="Hamburg"/>
    <x v="0"/>
    <x v="0"/>
    <x v="1"/>
    <x v="0"/>
    <x v="0"/>
    <n v="1"/>
    <n v="1266"/>
    <n v="2320"/>
    <n v="1054"/>
    <n v="1266"/>
    <n v="2320"/>
  </r>
  <r>
    <s v="000261748"/>
    <d v="2021-12-17T00:00:00"/>
    <n v="17"/>
    <s v="December"/>
    <n v="2021"/>
    <n v="42"/>
    <x v="1"/>
    <x v="0"/>
    <x v="3"/>
    <s v="Nordrhein-Westfalen"/>
    <x v="0"/>
    <x v="0"/>
    <x v="1"/>
    <x v="0"/>
    <x v="2"/>
    <n v="1"/>
    <n v="1266"/>
    <n v="2320"/>
    <n v="1054"/>
    <n v="1266"/>
    <n v="2320"/>
  </r>
  <r>
    <s v="000261750"/>
    <d v="2021-12-18T00:00:00"/>
    <n v="18"/>
    <s v="December"/>
    <n v="2021"/>
    <n v="38"/>
    <x v="1"/>
    <x v="0"/>
    <x v="3"/>
    <s v="Nordrhein-Westfalen"/>
    <x v="0"/>
    <x v="0"/>
    <x v="1"/>
    <x v="0"/>
    <x v="2"/>
    <n v="4"/>
    <n v="1266"/>
    <n v="2320"/>
    <n v="4216"/>
    <n v="5064"/>
    <n v="9280"/>
  </r>
  <r>
    <s v="000261764"/>
    <d v="2021-12-19T00:00:00"/>
    <n v="19"/>
    <s v="December"/>
    <n v="2021"/>
    <n v="56"/>
    <x v="1"/>
    <x v="0"/>
    <x v="3"/>
    <s v="Hessen"/>
    <x v="0"/>
    <x v="0"/>
    <x v="1"/>
    <x v="1"/>
    <x v="2"/>
    <n v="2"/>
    <n v="1252"/>
    <n v="2295"/>
    <n v="2086"/>
    <n v="2504"/>
    <n v="4590"/>
  </r>
  <r>
    <s v="000261778"/>
    <d v="2021-12-22T00:00:00"/>
    <n v="22"/>
    <s v="December"/>
    <n v="2021"/>
    <n v="41"/>
    <x v="1"/>
    <x v="1"/>
    <x v="3"/>
    <s v="Hessen"/>
    <x v="0"/>
    <x v="0"/>
    <x v="1"/>
    <x v="0"/>
    <x v="1"/>
    <n v="1"/>
    <n v="1266"/>
    <n v="2320"/>
    <n v="1054"/>
    <n v="1266"/>
    <n v="2320"/>
  </r>
  <r>
    <s v="000261696"/>
    <d v="2021-12-01T00:00:00"/>
    <n v="1"/>
    <s v="December"/>
    <n v="2021"/>
    <n v="44"/>
    <x v="1"/>
    <x v="1"/>
    <x v="4"/>
    <s v="England"/>
    <x v="0"/>
    <x v="0"/>
    <x v="1"/>
    <x v="0"/>
    <x v="0"/>
    <n v="1"/>
    <n v="1266"/>
    <n v="2320"/>
    <n v="1054"/>
    <n v="1266"/>
    <n v="2320"/>
  </r>
  <r>
    <s v="000261700"/>
    <d v="2021-12-03T00:00:00"/>
    <n v="3"/>
    <s v="December"/>
    <n v="2021"/>
    <n v="24"/>
    <x v="2"/>
    <x v="0"/>
    <x v="4"/>
    <s v="England"/>
    <x v="0"/>
    <x v="0"/>
    <x v="1"/>
    <x v="1"/>
    <x v="1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4"/>
    <s v="England"/>
    <x v="0"/>
    <x v="0"/>
    <x v="0"/>
    <x v="0"/>
    <x v="2"/>
    <n v="3"/>
    <n v="420"/>
    <n v="769"/>
    <n v="1047"/>
    <n v="1260"/>
    <n v="2307"/>
  </r>
  <r>
    <s v="000261710"/>
    <d v="2021-12-06T00:00:00"/>
    <n v="6"/>
    <s v="December"/>
    <n v="2021"/>
    <n v="47"/>
    <x v="1"/>
    <x v="1"/>
    <x v="4"/>
    <s v="England"/>
    <x v="0"/>
    <x v="0"/>
    <x v="1"/>
    <x v="0"/>
    <x v="1"/>
    <n v="1"/>
    <n v="1266"/>
    <n v="2320"/>
    <n v="1054"/>
    <n v="1266"/>
    <n v="2320"/>
  </r>
  <r>
    <s v="000261721"/>
    <d v="2021-12-10T00:00:00"/>
    <n v="10"/>
    <s v="December"/>
    <n v="2021"/>
    <n v="26"/>
    <x v="0"/>
    <x v="1"/>
    <x v="4"/>
    <s v="England"/>
    <x v="0"/>
    <x v="0"/>
    <x v="1"/>
    <x v="1"/>
    <x v="1"/>
    <n v="1"/>
    <n v="1252"/>
    <n v="2295"/>
    <n v="1043"/>
    <n v="1252"/>
    <n v="2295"/>
  </r>
  <r>
    <s v="000261737"/>
    <d v="2021-12-13T00:00:00"/>
    <n v="13"/>
    <s v="December"/>
    <n v="2021"/>
    <n v="44"/>
    <x v="1"/>
    <x v="0"/>
    <x v="4"/>
    <s v="England"/>
    <x v="0"/>
    <x v="0"/>
    <x v="1"/>
    <x v="1"/>
    <x v="1"/>
    <n v="1"/>
    <n v="1252"/>
    <n v="2295"/>
    <n v="1043"/>
    <n v="1252"/>
    <n v="2295"/>
  </r>
  <r>
    <s v="000261738"/>
    <d v="2021-12-13T00:00:00"/>
    <n v="13"/>
    <s v="December"/>
    <n v="2021"/>
    <n v="49"/>
    <x v="1"/>
    <x v="1"/>
    <x v="4"/>
    <s v="England"/>
    <x v="0"/>
    <x v="0"/>
    <x v="1"/>
    <x v="1"/>
    <x v="1"/>
    <n v="1"/>
    <n v="1252"/>
    <n v="2295"/>
    <n v="1043"/>
    <n v="1252"/>
    <n v="2295"/>
  </r>
  <r>
    <s v="000261752"/>
    <d v="2021-12-18T00:00:00"/>
    <n v="18"/>
    <s v="December"/>
    <n v="2021"/>
    <n v="26"/>
    <x v="0"/>
    <x v="0"/>
    <x v="4"/>
    <s v="England"/>
    <x v="0"/>
    <x v="0"/>
    <x v="0"/>
    <x v="0"/>
    <x v="0"/>
    <n v="3"/>
    <n v="420"/>
    <n v="769"/>
    <n v="1047"/>
    <n v="1260"/>
    <n v="2307"/>
  </r>
  <r>
    <s v="000261772"/>
    <d v="2021-12-21T00:00:00"/>
    <n v="21"/>
    <s v="December"/>
    <n v="2021"/>
    <n v="23"/>
    <x v="2"/>
    <x v="1"/>
    <x v="4"/>
    <s v="England"/>
    <x v="0"/>
    <x v="0"/>
    <x v="0"/>
    <x v="0"/>
    <x v="2"/>
    <n v="2"/>
    <n v="420"/>
    <n v="769"/>
    <n v="698"/>
    <n v="840"/>
    <n v="1538"/>
  </r>
  <r>
    <s v="000261695"/>
    <d v="2021-12-01T00:00:00"/>
    <n v="1"/>
    <s v="December"/>
    <n v="2021"/>
    <n v="39"/>
    <x v="1"/>
    <x v="0"/>
    <x v="5"/>
    <s v="California"/>
    <x v="0"/>
    <x v="0"/>
    <x v="1"/>
    <x v="1"/>
    <x v="2"/>
    <n v="4"/>
    <n v="1252"/>
    <n v="2295"/>
    <n v="4172"/>
    <n v="5008"/>
    <n v="9180"/>
  </r>
  <r>
    <s v="000261697"/>
    <d v="2021-12-02T00:00:00"/>
    <n v="2"/>
    <s v="December"/>
    <n v="2021"/>
    <n v="37"/>
    <x v="1"/>
    <x v="1"/>
    <x v="5"/>
    <s v="California"/>
    <x v="0"/>
    <x v="0"/>
    <x v="0"/>
    <x v="0"/>
    <x v="2"/>
    <n v="2"/>
    <n v="420"/>
    <n v="769"/>
    <n v="698"/>
    <n v="840"/>
    <n v="1538"/>
  </r>
  <r>
    <s v="000261699"/>
    <d v="2021-12-03T00:00:00"/>
    <n v="3"/>
    <s v="December"/>
    <n v="2021"/>
    <n v="37"/>
    <x v="1"/>
    <x v="0"/>
    <x v="5"/>
    <s v="California"/>
    <x v="0"/>
    <x v="0"/>
    <x v="1"/>
    <x v="1"/>
    <x v="2"/>
    <n v="2"/>
    <n v="1252"/>
    <n v="2295"/>
    <n v="2086"/>
    <n v="2504"/>
    <n v="4590"/>
  </r>
  <r>
    <s v="000261701"/>
    <d v="2021-12-03T00:00:00"/>
    <n v="3"/>
    <s v="December"/>
    <n v="2021"/>
    <n v="37"/>
    <x v="1"/>
    <x v="1"/>
    <x v="5"/>
    <s v="Washington"/>
    <x v="0"/>
    <x v="0"/>
    <x v="1"/>
    <x v="1"/>
    <x v="2"/>
    <n v="1"/>
    <n v="1252"/>
    <n v="2295"/>
    <n v="1043"/>
    <n v="1252"/>
    <n v="2295"/>
  </r>
  <r>
    <s v="000261703"/>
    <d v="2021-12-05T00:00:00"/>
    <n v="5"/>
    <s v="December"/>
    <n v="2021"/>
    <n v="39"/>
    <x v="1"/>
    <x v="0"/>
    <x v="5"/>
    <s v="California"/>
    <x v="0"/>
    <x v="0"/>
    <x v="1"/>
    <x v="1"/>
    <x v="2"/>
    <n v="4"/>
    <n v="1252"/>
    <n v="2295"/>
    <n v="4172"/>
    <n v="5008"/>
    <n v="9180"/>
  </r>
  <r>
    <s v="000261706"/>
    <d v="2021-12-05T00:00:00"/>
    <n v="5"/>
    <s v="December"/>
    <n v="2021"/>
    <n v="37"/>
    <x v="1"/>
    <x v="0"/>
    <x v="5"/>
    <s v="California"/>
    <x v="0"/>
    <x v="0"/>
    <x v="1"/>
    <x v="1"/>
    <x v="2"/>
    <n v="1"/>
    <n v="1252"/>
    <n v="2295"/>
    <n v="1043"/>
    <n v="1252"/>
    <n v="2295"/>
  </r>
  <r>
    <s v="000261711"/>
    <d v="2021-12-07T00:00:00"/>
    <n v="7"/>
    <s v="December"/>
    <n v="2021"/>
    <n v="30"/>
    <x v="0"/>
    <x v="1"/>
    <x v="5"/>
    <s v="California"/>
    <x v="0"/>
    <x v="0"/>
    <x v="0"/>
    <x v="0"/>
    <x v="1"/>
    <n v="4"/>
    <n v="420"/>
    <n v="769"/>
    <n v="1396"/>
    <n v="1680"/>
    <n v="3076"/>
  </r>
  <r>
    <s v="000261712"/>
    <d v="2021-12-07T00:00:00"/>
    <n v="7"/>
    <s v="December"/>
    <n v="2021"/>
    <n v="38"/>
    <x v="1"/>
    <x v="1"/>
    <x v="5"/>
    <s v="California"/>
    <x v="0"/>
    <x v="0"/>
    <x v="1"/>
    <x v="0"/>
    <x v="0"/>
    <n v="2"/>
    <n v="1266"/>
    <n v="2320"/>
    <n v="2108"/>
    <n v="2532"/>
    <n v="4640"/>
  </r>
  <r>
    <s v="000261715"/>
    <d v="2021-12-08T00:00:00"/>
    <n v="8"/>
    <s v="December"/>
    <n v="2021"/>
    <n v="39"/>
    <x v="1"/>
    <x v="0"/>
    <x v="5"/>
    <s v="Oregon"/>
    <x v="0"/>
    <x v="0"/>
    <x v="1"/>
    <x v="1"/>
    <x v="0"/>
    <n v="2"/>
    <n v="1252"/>
    <n v="2295"/>
    <n v="2086"/>
    <n v="2504"/>
    <n v="4590"/>
  </r>
  <r>
    <s v="000261716"/>
    <d v="2021-12-08T00:00:00"/>
    <n v="8"/>
    <s v="December"/>
    <n v="2021"/>
    <n v="35"/>
    <x v="1"/>
    <x v="0"/>
    <x v="5"/>
    <s v="California"/>
    <x v="0"/>
    <x v="0"/>
    <x v="2"/>
    <x v="1"/>
    <x v="0"/>
    <n v="4"/>
    <n v="295"/>
    <n v="540"/>
    <n v="245"/>
    <n v="1180"/>
    <n v="2160"/>
  </r>
  <r>
    <s v="000261719"/>
    <d v="2021-12-10T00:00:00"/>
    <n v="10"/>
    <s v="December"/>
    <n v="2021"/>
    <n v="34"/>
    <x v="0"/>
    <x v="0"/>
    <x v="5"/>
    <s v="California"/>
    <x v="0"/>
    <x v="0"/>
    <x v="1"/>
    <x v="1"/>
    <x v="0"/>
    <n v="2"/>
    <n v="1252"/>
    <n v="2295"/>
    <n v="2086"/>
    <n v="2504"/>
    <n v="4590"/>
  </r>
  <r>
    <s v="000261722"/>
    <d v="2021-12-10T00:00:00"/>
    <n v="10"/>
    <s v="December"/>
    <n v="2021"/>
    <n v="34"/>
    <x v="0"/>
    <x v="1"/>
    <x v="5"/>
    <s v="California"/>
    <x v="0"/>
    <x v="0"/>
    <x v="2"/>
    <x v="1"/>
    <x v="4"/>
    <n v="1"/>
    <n v="295"/>
    <n v="540"/>
    <n v="245"/>
    <n v="295"/>
    <n v="540"/>
  </r>
  <r>
    <s v="000261723"/>
    <d v="2021-12-10T00:00:00"/>
    <n v="10"/>
    <s v="December"/>
    <n v="2021"/>
    <n v="34"/>
    <x v="0"/>
    <x v="0"/>
    <x v="5"/>
    <s v="Washington"/>
    <x v="0"/>
    <x v="0"/>
    <x v="3"/>
    <x v="0"/>
    <x v="3"/>
    <n v="1"/>
    <n v="1912"/>
    <n v="3400"/>
    <n v="1488"/>
    <n v="1912"/>
    <n v="3400"/>
  </r>
  <r>
    <s v="000261728"/>
    <d v="2021-12-11T00:00:00"/>
    <n v="11"/>
    <s v="December"/>
    <n v="2021"/>
    <n v="37"/>
    <x v="1"/>
    <x v="1"/>
    <x v="5"/>
    <s v="California"/>
    <x v="0"/>
    <x v="0"/>
    <x v="0"/>
    <x v="0"/>
    <x v="2"/>
    <n v="1"/>
    <n v="420"/>
    <n v="769"/>
    <n v="349"/>
    <n v="420"/>
    <n v="769"/>
  </r>
  <r>
    <s v="000261729"/>
    <d v="2021-12-11T00:00:00"/>
    <n v="11"/>
    <s v="December"/>
    <n v="2021"/>
    <n v="38"/>
    <x v="1"/>
    <x v="0"/>
    <x v="5"/>
    <s v="California"/>
    <x v="0"/>
    <x v="0"/>
    <x v="1"/>
    <x v="0"/>
    <x v="1"/>
    <n v="1"/>
    <n v="1266"/>
    <n v="2320"/>
    <n v="1054"/>
    <n v="1266"/>
    <n v="2320"/>
  </r>
  <r>
    <s v="000261731"/>
    <d v="2021-12-12T00:00:00"/>
    <n v="12"/>
    <s v="December"/>
    <n v="2021"/>
    <n v="37"/>
    <x v="1"/>
    <x v="1"/>
    <x v="5"/>
    <s v="California"/>
    <x v="0"/>
    <x v="0"/>
    <x v="0"/>
    <x v="0"/>
    <x v="2"/>
    <n v="4"/>
    <n v="420"/>
    <n v="769"/>
    <n v="1396"/>
    <n v="1680"/>
    <n v="3076"/>
  </r>
  <r>
    <s v="000261734"/>
    <d v="2021-12-12T00:00:00"/>
    <n v="12"/>
    <s v="December"/>
    <n v="2021"/>
    <n v="38"/>
    <x v="1"/>
    <x v="0"/>
    <x v="5"/>
    <s v="Washington"/>
    <x v="0"/>
    <x v="0"/>
    <x v="1"/>
    <x v="0"/>
    <x v="0"/>
    <n v="1"/>
    <n v="1266"/>
    <n v="2320"/>
    <n v="1054"/>
    <n v="1266"/>
    <n v="2320"/>
  </r>
  <r>
    <s v="000261736"/>
    <d v="2021-12-13T00:00:00"/>
    <n v="13"/>
    <s v="December"/>
    <n v="2021"/>
    <n v="40"/>
    <x v="1"/>
    <x v="0"/>
    <x v="5"/>
    <s v="California"/>
    <x v="0"/>
    <x v="0"/>
    <x v="2"/>
    <x v="0"/>
    <x v="4"/>
    <n v="1"/>
    <n v="308"/>
    <n v="565"/>
    <n v="257"/>
    <n v="308"/>
    <n v="565"/>
  </r>
  <r>
    <s v="000261739"/>
    <d v="2021-12-14T00:00:00"/>
    <n v="14"/>
    <s v="December"/>
    <n v="2021"/>
    <n v="30"/>
    <x v="0"/>
    <x v="0"/>
    <x v="5"/>
    <s v="Washington"/>
    <x v="0"/>
    <x v="0"/>
    <x v="1"/>
    <x v="0"/>
    <x v="1"/>
    <n v="2"/>
    <n v="1266"/>
    <n v="2320"/>
    <n v="2108"/>
    <n v="2532"/>
    <n v="4640"/>
  </r>
  <r>
    <s v="000261740"/>
    <d v="2021-12-14T00:00:00"/>
    <n v="14"/>
    <s v="December"/>
    <n v="2021"/>
    <n v="32"/>
    <x v="0"/>
    <x v="1"/>
    <x v="5"/>
    <s v="California"/>
    <x v="0"/>
    <x v="0"/>
    <x v="1"/>
    <x v="1"/>
    <x v="2"/>
    <n v="1"/>
    <n v="1252"/>
    <n v="2295"/>
    <n v="1043"/>
    <n v="1252"/>
    <n v="2295"/>
  </r>
  <r>
    <s v="000261742"/>
    <d v="2021-12-15T00:00:00"/>
    <n v="15"/>
    <s v="December"/>
    <n v="2021"/>
    <n v="29"/>
    <x v="0"/>
    <x v="0"/>
    <x v="5"/>
    <s v="California"/>
    <x v="0"/>
    <x v="0"/>
    <x v="1"/>
    <x v="0"/>
    <x v="0"/>
    <n v="1"/>
    <n v="1266"/>
    <n v="2320"/>
    <n v="1054"/>
    <n v="1266"/>
    <n v="2320"/>
  </r>
  <r>
    <s v="000261746"/>
    <d v="2021-12-17T00:00:00"/>
    <n v="17"/>
    <s v="December"/>
    <n v="2021"/>
    <n v="37"/>
    <x v="1"/>
    <x v="0"/>
    <x v="5"/>
    <s v="Washington"/>
    <x v="0"/>
    <x v="0"/>
    <x v="1"/>
    <x v="0"/>
    <x v="1"/>
    <n v="2"/>
    <n v="1266"/>
    <n v="2320"/>
    <n v="2108"/>
    <n v="2532"/>
    <n v="4640"/>
  </r>
  <r>
    <s v="000261753"/>
    <d v="2021-12-18T00:00:00"/>
    <n v="18"/>
    <s v="December"/>
    <n v="2021"/>
    <n v="39"/>
    <x v="1"/>
    <x v="1"/>
    <x v="5"/>
    <s v="California"/>
    <x v="0"/>
    <x v="0"/>
    <x v="1"/>
    <x v="1"/>
    <x v="0"/>
    <n v="3"/>
    <n v="1252"/>
    <n v="2295"/>
    <n v="3129"/>
    <n v="3756"/>
    <n v="6885"/>
  </r>
  <r>
    <s v="000261755"/>
    <d v="2021-12-18T00:00:00"/>
    <n v="18"/>
    <s v="December"/>
    <n v="2021"/>
    <n v="36"/>
    <x v="1"/>
    <x v="1"/>
    <x v="5"/>
    <s v="Washington"/>
    <x v="0"/>
    <x v="0"/>
    <x v="1"/>
    <x v="0"/>
    <x v="1"/>
    <n v="1"/>
    <n v="1266"/>
    <n v="2320"/>
    <n v="1054"/>
    <n v="1266"/>
    <n v="2320"/>
  </r>
  <r>
    <s v="000261759"/>
    <d v="2021-12-19T00:00:00"/>
    <n v="19"/>
    <s v="December"/>
    <n v="2021"/>
    <n v="35"/>
    <x v="1"/>
    <x v="0"/>
    <x v="5"/>
    <s v="Oregon"/>
    <x v="0"/>
    <x v="0"/>
    <x v="3"/>
    <x v="1"/>
    <x v="6"/>
    <n v="4"/>
    <n v="1898"/>
    <n v="3375"/>
    <n v="5908"/>
    <n v="7592"/>
    <n v="13500"/>
  </r>
  <r>
    <s v="000261760"/>
    <d v="2021-12-19T00:00:00"/>
    <n v="19"/>
    <s v="December"/>
    <n v="2021"/>
    <n v="37"/>
    <x v="1"/>
    <x v="1"/>
    <x v="5"/>
    <s v="Oregon"/>
    <x v="0"/>
    <x v="0"/>
    <x v="1"/>
    <x v="1"/>
    <x v="1"/>
    <n v="4"/>
    <n v="1252"/>
    <n v="2295"/>
    <n v="4172"/>
    <n v="5008"/>
    <n v="9180"/>
  </r>
  <r>
    <s v="000261761"/>
    <d v="2021-12-19T00:00:00"/>
    <n v="19"/>
    <s v="December"/>
    <n v="2021"/>
    <n v="39"/>
    <x v="1"/>
    <x v="0"/>
    <x v="5"/>
    <s v="California"/>
    <x v="0"/>
    <x v="0"/>
    <x v="1"/>
    <x v="1"/>
    <x v="2"/>
    <n v="4"/>
    <n v="1252"/>
    <n v="2295"/>
    <n v="4172"/>
    <n v="5008"/>
    <n v="9180"/>
  </r>
  <r>
    <s v="000261765"/>
    <d v="2021-12-19T00:00:00"/>
    <n v="19"/>
    <s v="December"/>
    <n v="2021"/>
    <n v="39"/>
    <x v="1"/>
    <x v="0"/>
    <x v="5"/>
    <s v="Washington"/>
    <x v="0"/>
    <x v="0"/>
    <x v="1"/>
    <x v="0"/>
    <x v="1"/>
    <n v="1"/>
    <n v="1266"/>
    <n v="2320"/>
    <n v="1054"/>
    <n v="1266"/>
    <n v="2320"/>
  </r>
  <r>
    <s v="000261773"/>
    <d v="2021-12-22T00:00:00"/>
    <n v="22"/>
    <s v="December"/>
    <n v="2021"/>
    <n v="30"/>
    <x v="0"/>
    <x v="0"/>
    <x v="5"/>
    <s v="Washington"/>
    <x v="0"/>
    <x v="0"/>
    <x v="1"/>
    <x v="0"/>
    <x v="1"/>
    <n v="3"/>
    <n v="1266"/>
    <n v="2320"/>
    <n v="3162"/>
    <n v="3798"/>
    <n v="6960"/>
  </r>
  <r>
    <s v="000261774"/>
    <d v="2021-12-22T00:00:00"/>
    <n v="22"/>
    <s v="December"/>
    <n v="2021"/>
    <n v="41"/>
    <x v="1"/>
    <x v="1"/>
    <x v="5"/>
    <s v="California"/>
    <x v="0"/>
    <x v="0"/>
    <x v="1"/>
    <x v="1"/>
    <x v="0"/>
    <n v="3"/>
    <n v="1252"/>
    <n v="2295"/>
    <n v="3129"/>
    <n v="3756"/>
    <n v="6885"/>
  </r>
  <r>
    <s v="000261779"/>
    <d v="2021-12-23T00:00:00"/>
    <n v="23"/>
    <s v="December"/>
    <n v="2021"/>
    <n v="30"/>
    <x v="0"/>
    <x v="0"/>
    <x v="5"/>
    <s v="Oregon"/>
    <x v="0"/>
    <x v="0"/>
    <x v="1"/>
    <x v="0"/>
    <x v="0"/>
    <n v="1"/>
    <n v="1266"/>
    <n v="2320"/>
    <n v="1054"/>
    <n v="1266"/>
    <n v="2320"/>
  </r>
  <r>
    <s v="000261781"/>
    <d v="2021-12-23T00:00:00"/>
    <n v="23"/>
    <s v="December"/>
    <n v="2021"/>
    <n v="35"/>
    <x v="1"/>
    <x v="0"/>
    <x v="5"/>
    <s v="California"/>
    <x v="0"/>
    <x v="0"/>
    <x v="2"/>
    <x v="1"/>
    <x v="0"/>
    <n v="1"/>
    <n v="295"/>
    <n v="540"/>
    <n v="245"/>
    <n v="295"/>
    <n v="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4C862-6988-4498-830B-5D848A6E1E8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0" baseField="0" baseItem="0" numFmtId="8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21CB5-7059-4DE8-8844-22E355779B4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7" firstHeaderRow="1" firstDataRow="2" firstDataCol="1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7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Revenue" fld="20" baseField="0" baseItem="0" numFmtId="8"/>
  </dataField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60CBA-2F98-4172-89A7-98596E70770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1" firstHeaderRow="1" firstDataRow="1" firstDataCol="3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8">
        <item x="1"/>
        <item x="4"/>
        <item x="0"/>
        <item x="3"/>
        <item x="2"/>
        <item x="6"/>
        <item x="5"/>
        <item t="default"/>
      </items>
    </pivotField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3">
    <field x="13"/>
    <field x="12"/>
    <field x="14"/>
  </rowFields>
  <rowItems count="28">
    <i>
      <x/>
      <x/>
      <x/>
    </i>
    <i r="2">
      <x v="5"/>
    </i>
    <i t="default" r="1">
      <x/>
    </i>
    <i r="1">
      <x v="1"/>
      <x/>
    </i>
    <i r="2">
      <x v="2"/>
    </i>
    <i r="2">
      <x v="4"/>
    </i>
    <i t="default" r="1">
      <x v="1"/>
    </i>
    <i r="1">
      <x v="3"/>
      <x v="1"/>
    </i>
    <i r="2">
      <x v="2"/>
    </i>
    <i r="2">
      <x v="3"/>
    </i>
    <i r="2">
      <x v="6"/>
    </i>
    <i t="default" r="1">
      <x v="3"/>
    </i>
    <i t="default">
      <x/>
    </i>
    <i>
      <x v="1"/>
      <x/>
      <x v="3"/>
    </i>
    <i t="default" r="1">
      <x/>
    </i>
    <i r="1">
      <x v="1"/>
      <x/>
    </i>
    <i r="2">
      <x v="2"/>
    </i>
    <i r="2">
      <x v="4"/>
    </i>
    <i t="default" r="1">
      <x v="1"/>
    </i>
    <i r="1">
      <x v="2"/>
      <x/>
    </i>
    <i r="2">
      <x v="2"/>
    </i>
    <i r="2">
      <x v="4"/>
    </i>
    <i t="default" r="1">
      <x v="2"/>
    </i>
    <i r="1">
      <x v="3"/>
      <x v="1"/>
    </i>
    <i r="2">
      <x v="2"/>
    </i>
    <i t="default" r="1">
      <x v="3"/>
    </i>
    <i t="default">
      <x v="1"/>
    </i>
    <i t="grand">
      <x/>
    </i>
  </rowItems>
  <colItems count="1">
    <i/>
  </colItems>
  <dataFields count="1">
    <dataField name="Sum of Order_Quantity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179F8-3EC7-4135-981B-AB535386E996}" name="BikeSales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C10" firstHeaderRow="0" firstDataRow="1" firstDataCol="1"/>
  <pivotFields count="2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8"/>
  </rowFields>
  <rowItems count="7">
    <i>
      <x v="5"/>
    </i>
    <i>
      <x/>
    </i>
    <i>
      <x v="2"/>
    </i>
    <i>
      <x v="4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Quantity" fld="15" baseField="0" baseItem="0"/>
    <dataField name="Sum of Revenue" fld="20" baseField="0" baseItem="0" numFmtId="8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F02DB-1391-48A9-B852-77C0495A6330}" name="BikeSales" displayName="BikeSales" ref="A1:U89" totalsRowShown="0" headerRowDxfId="16">
  <autoFilter ref="A1:U89" xr:uid="{A1AF02DB-1391-48A9-B852-77C0495A6330}"/>
  <sortState xmlns:xlrd2="http://schemas.microsoft.com/office/spreadsheetml/2017/richdata2" ref="A2:U89">
    <sortCondition descending="1" ref="P1:P89"/>
  </sortState>
  <tableColumns count="21">
    <tableColumn id="1" xr3:uid="{DDF92436-8962-4603-A938-55666A200804}" name="Sales_Order #" dataDxfId="15"/>
    <tableColumn id="2" xr3:uid="{1BF0CCCC-D35E-4867-906A-A22EF4BB8234}" name="Date" dataDxfId="14"/>
    <tableColumn id="3" xr3:uid="{D6AC3338-1AF3-4137-8C5E-50B36B535E5C}" name="Day"/>
    <tableColumn id="4" xr3:uid="{67E0CA77-E7F6-4439-AABC-DA53FB97C555}" name="Month"/>
    <tableColumn id="5" xr3:uid="{A05B26A7-ED3C-4F01-96C6-301A29165C72}" name="Year"/>
    <tableColumn id="6" xr3:uid="{E22162AD-F779-4D6A-B7E3-62A31ED47A86}" name="Customer_Age"/>
    <tableColumn id="7" xr3:uid="{BC64BA71-CDCE-47E8-80DE-E3DADF1EB40D}" name="Age_Group" dataDxfId="13"/>
    <tableColumn id="8" xr3:uid="{3B70D6E0-B0DF-456F-B79E-F29CA2AADA5E}" name="Customer_Gender" dataDxfId="12"/>
    <tableColumn id="9" xr3:uid="{71D079FC-9353-49B1-B9C4-AD21116A2F18}" name="Country" dataDxfId="11"/>
    <tableColumn id="10" xr3:uid="{5F7864A9-515D-446C-9BA6-3F0845D5A50B}" name="State" dataDxfId="10"/>
    <tableColumn id="11" xr3:uid="{6713B078-1A66-40D0-B07F-A3602A5C5BE0}" name="Product_Category" dataDxfId="9"/>
    <tableColumn id="12" xr3:uid="{D5CA50DE-3F24-4403-A082-D6341402DA73}" name="Sub_Category" dataDxfId="8"/>
    <tableColumn id="13" xr3:uid="{B17DB254-434D-4256-B00C-97BE05EBD4BF}" name="Model" dataDxfId="7"/>
    <tableColumn id="14" xr3:uid="{D3ED0E6F-9A3F-4328-A5DB-DF411263BA4C}" name="Color" dataDxfId="6"/>
    <tableColumn id="15" xr3:uid="{6518CA51-0C6D-4724-AFE7-C86497F86FD7}" name="Size" dataDxfId="5"/>
    <tableColumn id="16" xr3:uid="{12AAC5E9-F80F-4B7C-BB1D-140B2DBBAD13}" name="Order_Quantity"/>
    <tableColumn id="17" xr3:uid="{675962FC-88AE-4D19-AAEF-6A82056851A3}" name=" Unit_Cost " dataDxfId="4"/>
    <tableColumn id="18" xr3:uid="{91CF7AD8-039C-48C0-8A3A-C3381A051394}" name=" Unit_Price " dataDxfId="3"/>
    <tableColumn id="19" xr3:uid="{15BE6DCA-3E79-412C-BEDA-4E2D93F3BE83}" name=" Profit " dataDxfId="2"/>
    <tableColumn id="20" xr3:uid="{5D8901C9-05A4-46C9-9CF8-D017CAB28D69}" name=" Cost " dataDxfId="1">
      <calculatedColumnFormula>P2*Q2</calculatedColumnFormula>
    </tableColumn>
    <tableColumn id="21" xr3:uid="{E7CE80DA-7149-43D9-9860-6939195A5308}" name="Revenue" dataDxfId="0">
      <calculatedColumnFormula>P2*R2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>
      <selection activeCell="A2" sqref="A2"/>
    </sheetView>
  </sheetViews>
  <sheetFormatPr defaultRowHeight="15"/>
  <cols>
    <col min="1" max="1" width="15.42578125" bestFit="1" customWidth="1"/>
    <col min="2" max="2" width="11.140625" bestFit="1" customWidth="1"/>
    <col min="4" max="4" width="10.140625" bestFit="1" customWidth="1"/>
    <col min="6" max="6" width="16.28515625" bestFit="1" customWidth="1"/>
    <col min="7" max="7" width="19.7109375" style="6" bestFit="1" customWidth="1"/>
    <col min="8" max="8" width="19.42578125" style="6" bestFit="1" customWidth="1"/>
    <col min="9" max="9" width="15.42578125" style="6" bestFit="1" customWidth="1"/>
    <col min="10" max="10" width="19.85546875" style="6" bestFit="1" customWidth="1"/>
    <col min="11" max="11" width="19.140625" style="6" bestFit="1" customWidth="1"/>
    <col min="12" max="12" width="17.5703125" style="6" customWidth="1"/>
    <col min="13" max="13" width="20" style="6" customWidth="1"/>
    <col min="14" max="14" width="7.85546875" style="6" bestFit="1" customWidth="1"/>
    <col min="15" max="15" width="6.7109375" customWidth="1"/>
    <col min="16" max="16" width="17.28515625" bestFit="1" customWidth="1"/>
    <col min="17" max="17" width="12.85546875" bestFit="1" customWidth="1"/>
    <col min="18" max="18" width="13.42578125" bestFit="1" customWidth="1"/>
    <col min="19" max="20" width="10" bestFit="1" customWidth="1"/>
    <col min="21" max="21" width="11.140625" bestFit="1" customWidth="1"/>
  </cols>
  <sheetData>
    <row r="1" spans="1:21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3" t="s">
        <v>21</v>
      </c>
      <c r="B2" s="1">
        <v>44534</v>
      </c>
      <c r="C2">
        <v>4</v>
      </c>
      <c r="D2" t="s">
        <v>22</v>
      </c>
      <c r="E2">
        <v>2021</v>
      </c>
      <c r="F2">
        <v>31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7" t="s">
        <v>29</v>
      </c>
      <c r="N2" s="7" t="s">
        <v>30</v>
      </c>
      <c r="O2" s="4">
        <v>42</v>
      </c>
      <c r="P2">
        <v>4</v>
      </c>
      <c r="Q2" s="2">
        <v>420</v>
      </c>
      <c r="R2" s="2">
        <v>769</v>
      </c>
      <c r="S2" s="2">
        <v>1396</v>
      </c>
      <c r="T2" s="2">
        <f>P2*Q2</f>
        <v>1680</v>
      </c>
      <c r="U2" s="2">
        <f>P2*R2</f>
        <v>3076</v>
      </c>
    </row>
    <row r="3" spans="1:21">
      <c r="A3" s="3" t="s">
        <v>31</v>
      </c>
      <c r="B3" s="1">
        <v>44538</v>
      </c>
      <c r="C3">
        <v>8</v>
      </c>
      <c r="D3" t="s">
        <v>22</v>
      </c>
      <c r="E3">
        <v>2021</v>
      </c>
      <c r="F3">
        <v>19</v>
      </c>
      <c r="G3" s="6" t="s">
        <v>32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7" t="s">
        <v>33</v>
      </c>
      <c r="N3" s="7" t="s">
        <v>30</v>
      </c>
      <c r="O3" s="4">
        <v>42</v>
      </c>
      <c r="P3">
        <v>4</v>
      </c>
      <c r="Q3" s="2">
        <v>308</v>
      </c>
      <c r="R3" s="2">
        <v>565</v>
      </c>
      <c r="S3" s="2">
        <v>1028</v>
      </c>
      <c r="T3" s="2">
        <f>P3*Q3</f>
        <v>1232</v>
      </c>
      <c r="U3" s="2">
        <f>P3*R3</f>
        <v>2260</v>
      </c>
    </row>
    <row r="4" spans="1:21">
      <c r="A4" s="3" t="s">
        <v>34</v>
      </c>
      <c r="B4" s="1">
        <v>44542</v>
      </c>
      <c r="C4">
        <v>12</v>
      </c>
      <c r="D4" t="s">
        <v>22</v>
      </c>
      <c r="E4">
        <v>2021</v>
      </c>
      <c r="F4">
        <v>36</v>
      </c>
      <c r="G4" s="6" t="s">
        <v>35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7" t="s">
        <v>36</v>
      </c>
      <c r="N4" s="7" t="s">
        <v>30</v>
      </c>
      <c r="O4" s="4">
        <v>42</v>
      </c>
      <c r="P4">
        <v>4</v>
      </c>
      <c r="Q4" s="2">
        <v>1266</v>
      </c>
      <c r="R4" s="2">
        <v>2320</v>
      </c>
      <c r="S4" s="2">
        <v>4216</v>
      </c>
      <c r="T4" s="2">
        <f>P4*Q4</f>
        <v>5064</v>
      </c>
      <c r="U4" s="2">
        <f>P4*R4</f>
        <v>9280</v>
      </c>
    </row>
    <row r="5" spans="1:21">
      <c r="A5" s="3" t="s">
        <v>37</v>
      </c>
      <c r="B5" s="1">
        <v>44548</v>
      </c>
      <c r="C5">
        <v>18</v>
      </c>
      <c r="D5" t="s">
        <v>22</v>
      </c>
      <c r="E5">
        <v>2021</v>
      </c>
      <c r="F5">
        <v>35</v>
      </c>
      <c r="G5" s="6" t="s">
        <v>35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7" t="s">
        <v>33</v>
      </c>
      <c r="N5" s="7" t="s">
        <v>30</v>
      </c>
      <c r="O5" s="4">
        <v>42</v>
      </c>
      <c r="P5">
        <v>4</v>
      </c>
      <c r="Q5" s="2">
        <v>308</v>
      </c>
      <c r="R5" s="2">
        <v>565</v>
      </c>
      <c r="S5" s="2">
        <v>1028</v>
      </c>
      <c r="T5" s="2">
        <f>P5*Q5</f>
        <v>1232</v>
      </c>
      <c r="U5" s="2">
        <f>P5*R5</f>
        <v>2260</v>
      </c>
    </row>
    <row r="6" spans="1:21">
      <c r="A6" s="3" t="s">
        <v>38</v>
      </c>
      <c r="B6" s="1">
        <v>44549</v>
      </c>
      <c r="C6">
        <v>19</v>
      </c>
      <c r="D6" t="s">
        <v>22</v>
      </c>
      <c r="E6">
        <v>2021</v>
      </c>
      <c r="F6">
        <v>19</v>
      </c>
      <c r="G6" s="6" t="s">
        <v>32</v>
      </c>
      <c r="H6" s="6" t="s">
        <v>24</v>
      </c>
      <c r="I6" s="6" t="s">
        <v>25</v>
      </c>
      <c r="J6" s="6" t="s">
        <v>39</v>
      </c>
      <c r="K6" s="6" t="s">
        <v>27</v>
      </c>
      <c r="L6" s="6" t="s">
        <v>28</v>
      </c>
      <c r="M6" s="7" t="s">
        <v>33</v>
      </c>
      <c r="N6" s="7" t="s">
        <v>40</v>
      </c>
      <c r="O6" s="4">
        <v>44</v>
      </c>
      <c r="P6">
        <v>4</v>
      </c>
      <c r="Q6" s="2">
        <v>295</v>
      </c>
      <c r="R6" s="2">
        <v>540</v>
      </c>
      <c r="S6" s="2">
        <v>980</v>
      </c>
      <c r="T6" s="2">
        <f>P6*Q6</f>
        <v>1180</v>
      </c>
      <c r="U6" s="2">
        <f>P6*R6</f>
        <v>2160</v>
      </c>
    </row>
    <row r="7" spans="1:21">
      <c r="A7" s="3" t="s">
        <v>41</v>
      </c>
      <c r="B7" s="1">
        <v>44549</v>
      </c>
      <c r="C7">
        <v>19</v>
      </c>
      <c r="D7" t="s">
        <v>22</v>
      </c>
      <c r="E7">
        <v>2021</v>
      </c>
      <c r="F7">
        <v>63</v>
      </c>
      <c r="G7" s="6" t="s">
        <v>35</v>
      </c>
      <c r="H7" s="6" t="s">
        <v>24</v>
      </c>
      <c r="I7" s="6" t="s">
        <v>25</v>
      </c>
      <c r="J7" s="6" t="s">
        <v>42</v>
      </c>
      <c r="K7" s="6" t="s">
        <v>27</v>
      </c>
      <c r="L7" s="6" t="s">
        <v>28</v>
      </c>
      <c r="M7" s="7" t="s">
        <v>36</v>
      </c>
      <c r="N7" s="7" t="s">
        <v>40</v>
      </c>
      <c r="O7" s="4">
        <v>46</v>
      </c>
      <c r="P7">
        <v>4</v>
      </c>
      <c r="Q7" s="2">
        <v>1252</v>
      </c>
      <c r="R7" s="2">
        <v>2295</v>
      </c>
      <c r="S7" s="2">
        <v>4172</v>
      </c>
      <c r="T7" s="2">
        <f>P7*Q7</f>
        <v>5008</v>
      </c>
      <c r="U7" s="2">
        <f>P7*R7</f>
        <v>9180</v>
      </c>
    </row>
    <row r="8" spans="1:21">
      <c r="A8" s="3" t="s">
        <v>43</v>
      </c>
      <c r="B8" s="1">
        <v>44550</v>
      </c>
      <c r="C8">
        <v>20</v>
      </c>
      <c r="D8" t="s">
        <v>22</v>
      </c>
      <c r="E8">
        <v>2021</v>
      </c>
      <c r="F8">
        <v>33</v>
      </c>
      <c r="G8" s="6" t="s">
        <v>23</v>
      </c>
      <c r="H8" s="6" t="s">
        <v>24</v>
      </c>
      <c r="I8" s="6" t="s">
        <v>25</v>
      </c>
      <c r="J8" s="6" t="s">
        <v>39</v>
      </c>
      <c r="K8" s="6" t="s">
        <v>27</v>
      </c>
      <c r="L8" s="6" t="s">
        <v>28</v>
      </c>
      <c r="M8" s="7" t="s">
        <v>44</v>
      </c>
      <c r="N8" s="7" t="s">
        <v>40</v>
      </c>
      <c r="O8" s="4">
        <v>38</v>
      </c>
      <c r="P8">
        <v>4</v>
      </c>
      <c r="Q8" s="2">
        <v>1898</v>
      </c>
      <c r="R8" s="2">
        <v>3375</v>
      </c>
      <c r="S8" s="2">
        <v>5908</v>
      </c>
      <c r="T8" s="2">
        <f>P8*Q8</f>
        <v>7592</v>
      </c>
      <c r="U8" s="2">
        <f>P8*R8</f>
        <v>13500</v>
      </c>
    </row>
    <row r="9" spans="1:21" s="5" customFormat="1">
      <c r="A9" s="3" t="s">
        <v>45</v>
      </c>
      <c r="B9" s="1">
        <v>44550</v>
      </c>
      <c r="C9">
        <v>20</v>
      </c>
      <c r="D9" t="s">
        <v>22</v>
      </c>
      <c r="E9">
        <v>2021</v>
      </c>
      <c r="F9">
        <v>57</v>
      </c>
      <c r="G9" s="6" t="s">
        <v>35</v>
      </c>
      <c r="H9" s="6" t="s">
        <v>46</v>
      </c>
      <c r="I9" s="6" t="s">
        <v>25</v>
      </c>
      <c r="J9" s="6" t="s">
        <v>42</v>
      </c>
      <c r="K9" s="6" t="s">
        <v>27</v>
      </c>
      <c r="L9" s="6" t="s">
        <v>28</v>
      </c>
      <c r="M9" s="7" t="s">
        <v>36</v>
      </c>
      <c r="N9" s="7" t="s">
        <v>40</v>
      </c>
      <c r="O9" s="4">
        <v>46</v>
      </c>
      <c r="P9">
        <v>4</v>
      </c>
      <c r="Q9" s="2">
        <v>1252</v>
      </c>
      <c r="R9" s="2">
        <v>2295</v>
      </c>
      <c r="S9" s="2">
        <v>4172</v>
      </c>
      <c r="T9" s="2">
        <f>P9*Q9</f>
        <v>5008</v>
      </c>
      <c r="U9" s="2">
        <f>P9*R9</f>
        <v>9180</v>
      </c>
    </row>
    <row r="10" spans="1:21">
      <c r="A10" s="3" t="s">
        <v>47</v>
      </c>
      <c r="B10" s="1">
        <v>44554</v>
      </c>
      <c r="C10">
        <v>24</v>
      </c>
      <c r="D10" t="s">
        <v>22</v>
      </c>
      <c r="E10">
        <v>2021</v>
      </c>
      <c r="F10">
        <v>38</v>
      </c>
      <c r="G10" s="6" t="s">
        <v>35</v>
      </c>
      <c r="H10" s="6" t="s">
        <v>46</v>
      </c>
      <c r="I10" s="6" t="s">
        <v>25</v>
      </c>
      <c r="J10" s="6" t="s">
        <v>42</v>
      </c>
      <c r="K10" s="6" t="s">
        <v>27</v>
      </c>
      <c r="L10" s="6" t="s">
        <v>28</v>
      </c>
      <c r="M10" s="7" t="s">
        <v>36</v>
      </c>
      <c r="N10" s="7" t="s">
        <v>40</v>
      </c>
      <c r="O10" s="4">
        <v>42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>
      <c r="A11" s="3" t="s">
        <v>48</v>
      </c>
      <c r="B11" s="1">
        <v>44538</v>
      </c>
      <c r="C11">
        <v>8</v>
      </c>
      <c r="D11" t="s">
        <v>22</v>
      </c>
      <c r="E11">
        <v>2021</v>
      </c>
      <c r="F11">
        <v>30</v>
      </c>
      <c r="G11" s="6" t="s">
        <v>23</v>
      </c>
      <c r="H11" s="6" t="s">
        <v>24</v>
      </c>
      <c r="I11" s="6" t="s">
        <v>49</v>
      </c>
      <c r="J11" s="6" t="s">
        <v>50</v>
      </c>
      <c r="K11" s="6" t="s">
        <v>27</v>
      </c>
      <c r="L11" s="6" t="s">
        <v>28</v>
      </c>
      <c r="M11" s="7" t="s">
        <v>36</v>
      </c>
      <c r="N11" s="7" t="s">
        <v>30</v>
      </c>
      <c r="O11" s="4">
        <v>38</v>
      </c>
      <c r="P11">
        <v>4</v>
      </c>
      <c r="Q11" s="2">
        <v>1266</v>
      </c>
      <c r="R11" s="2">
        <v>2320</v>
      </c>
      <c r="S11" s="2">
        <v>4216</v>
      </c>
      <c r="T11" s="2">
        <f>P11*Q11</f>
        <v>5064</v>
      </c>
      <c r="U11" s="2">
        <f>P11*R11</f>
        <v>9280</v>
      </c>
    </row>
    <row r="12" spans="1:21">
      <c r="A12" s="3" t="s">
        <v>51</v>
      </c>
      <c r="B12" s="1">
        <v>44549</v>
      </c>
      <c r="C12">
        <v>19</v>
      </c>
      <c r="D12" t="s">
        <v>22</v>
      </c>
      <c r="E12">
        <v>2021</v>
      </c>
      <c r="F12">
        <v>17</v>
      </c>
      <c r="G12" s="6" t="s">
        <v>32</v>
      </c>
      <c r="H12" s="6" t="s">
        <v>46</v>
      </c>
      <c r="I12" s="6" t="s">
        <v>52</v>
      </c>
      <c r="J12" s="6" t="s">
        <v>53</v>
      </c>
      <c r="K12" s="6" t="s">
        <v>27</v>
      </c>
      <c r="L12" s="6" t="s">
        <v>28</v>
      </c>
      <c r="M12" s="7" t="s">
        <v>36</v>
      </c>
      <c r="N12" s="7" t="s">
        <v>30</v>
      </c>
      <c r="O12" s="4">
        <v>46</v>
      </c>
      <c r="P12">
        <v>4</v>
      </c>
      <c r="Q12" s="2">
        <v>1266</v>
      </c>
      <c r="R12" s="2">
        <v>2320</v>
      </c>
      <c r="S12" s="2">
        <v>4216</v>
      </c>
      <c r="T12" s="2">
        <f>P12*Q12</f>
        <v>5064</v>
      </c>
      <c r="U12" s="2">
        <f>P12*R12</f>
        <v>9280</v>
      </c>
    </row>
    <row r="13" spans="1:21">
      <c r="A13" s="3" t="s">
        <v>54</v>
      </c>
      <c r="B13" s="1">
        <v>44549</v>
      </c>
      <c r="C13">
        <v>19</v>
      </c>
      <c r="D13" t="s">
        <v>22</v>
      </c>
      <c r="E13">
        <v>2021</v>
      </c>
      <c r="F13">
        <v>25</v>
      </c>
      <c r="G13" s="6" t="s">
        <v>23</v>
      </c>
      <c r="H13" s="6" t="s">
        <v>46</v>
      </c>
      <c r="I13" s="6" t="s">
        <v>52</v>
      </c>
      <c r="J13" s="6" t="s">
        <v>55</v>
      </c>
      <c r="K13" s="6" t="s">
        <v>27</v>
      </c>
      <c r="L13" s="6" t="s">
        <v>28</v>
      </c>
      <c r="M13" s="7" t="s">
        <v>36</v>
      </c>
      <c r="N13" s="7" t="s">
        <v>40</v>
      </c>
      <c r="O13" s="4">
        <v>38</v>
      </c>
      <c r="P13">
        <v>4</v>
      </c>
      <c r="Q13" s="2">
        <v>1252</v>
      </c>
      <c r="R13" s="2">
        <v>2295</v>
      </c>
      <c r="S13" s="2">
        <v>4172</v>
      </c>
      <c r="T13" s="2">
        <f>P13*Q13</f>
        <v>5008</v>
      </c>
      <c r="U13" s="2">
        <f>P13*R13</f>
        <v>9180</v>
      </c>
    </row>
    <row r="14" spans="1:21">
      <c r="A14" s="3" t="s">
        <v>56</v>
      </c>
      <c r="B14" s="1">
        <v>44535</v>
      </c>
      <c r="C14">
        <v>5</v>
      </c>
      <c r="D14" t="s">
        <v>22</v>
      </c>
      <c r="E14">
        <v>2021</v>
      </c>
      <c r="F14">
        <v>42</v>
      </c>
      <c r="G14" s="6" t="s">
        <v>35</v>
      </c>
      <c r="H14" s="6" t="s">
        <v>46</v>
      </c>
      <c r="I14" s="6" t="s">
        <v>57</v>
      </c>
      <c r="J14" s="6" t="s">
        <v>58</v>
      </c>
      <c r="K14" s="6" t="s">
        <v>27</v>
      </c>
      <c r="L14" s="6" t="s">
        <v>28</v>
      </c>
      <c r="M14" s="7" t="s">
        <v>36</v>
      </c>
      <c r="N14" s="7" t="s">
        <v>40</v>
      </c>
      <c r="O14" s="4">
        <v>38</v>
      </c>
      <c r="P14">
        <v>4</v>
      </c>
      <c r="Q14" s="2">
        <v>1252</v>
      </c>
      <c r="R14" s="2">
        <v>2295</v>
      </c>
      <c r="S14" s="2">
        <v>4172</v>
      </c>
      <c r="T14" s="2">
        <f>P14*Q14</f>
        <v>5008</v>
      </c>
      <c r="U14" s="2">
        <f>P14*R14</f>
        <v>9180</v>
      </c>
    </row>
    <row r="15" spans="1:21">
      <c r="A15" s="3" t="s">
        <v>59</v>
      </c>
      <c r="B15" s="1">
        <v>44548</v>
      </c>
      <c r="C15">
        <v>18</v>
      </c>
      <c r="D15" t="s">
        <v>22</v>
      </c>
      <c r="E15">
        <v>2021</v>
      </c>
      <c r="F15">
        <v>38</v>
      </c>
      <c r="G15" s="6" t="s">
        <v>35</v>
      </c>
      <c r="H15" s="6" t="s">
        <v>24</v>
      </c>
      <c r="I15" s="6" t="s">
        <v>57</v>
      </c>
      <c r="J15" s="6" t="s">
        <v>58</v>
      </c>
      <c r="K15" s="6" t="s">
        <v>27</v>
      </c>
      <c r="L15" s="6" t="s">
        <v>28</v>
      </c>
      <c r="M15" s="7" t="s">
        <v>36</v>
      </c>
      <c r="N15" s="7" t="s">
        <v>30</v>
      </c>
      <c r="O15" s="4">
        <v>46</v>
      </c>
      <c r="P15">
        <v>4</v>
      </c>
      <c r="Q15" s="2">
        <v>1266</v>
      </c>
      <c r="R15" s="2">
        <v>2320</v>
      </c>
      <c r="S15" s="2">
        <v>4216</v>
      </c>
      <c r="T15" s="2">
        <f>P15*Q15</f>
        <v>5064</v>
      </c>
      <c r="U15" s="2">
        <f>P15*R15</f>
        <v>9280</v>
      </c>
    </row>
    <row r="16" spans="1:21">
      <c r="A16" s="3" t="s">
        <v>60</v>
      </c>
      <c r="B16" s="1">
        <v>44531</v>
      </c>
      <c r="C16">
        <v>1</v>
      </c>
      <c r="D16" t="s">
        <v>22</v>
      </c>
      <c r="E16">
        <v>2021</v>
      </c>
      <c r="F16">
        <v>39</v>
      </c>
      <c r="G16" s="6" t="s">
        <v>35</v>
      </c>
      <c r="H16" s="6" t="s">
        <v>24</v>
      </c>
      <c r="I16" s="6" t="s">
        <v>61</v>
      </c>
      <c r="J16" s="6" t="s">
        <v>62</v>
      </c>
      <c r="K16" s="6" t="s">
        <v>27</v>
      </c>
      <c r="L16" s="6" t="s">
        <v>28</v>
      </c>
      <c r="M16" s="7" t="s">
        <v>36</v>
      </c>
      <c r="N16" s="7" t="s">
        <v>40</v>
      </c>
      <c r="O16" s="4">
        <v>46</v>
      </c>
      <c r="P16">
        <v>4</v>
      </c>
      <c r="Q16" s="2">
        <v>1252</v>
      </c>
      <c r="R16" s="2">
        <v>2295</v>
      </c>
      <c r="S16" s="2">
        <v>4172</v>
      </c>
      <c r="T16" s="2">
        <f>P16*Q16</f>
        <v>5008</v>
      </c>
      <c r="U16" s="2">
        <f>P16*R16</f>
        <v>9180</v>
      </c>
    </row>
    <row r="17" spans="1:21">
      <c r="A17" s="3" t="s">
        <v>63</v>
      </c>
      <c r="B17" s="1">
        <v>44535</v>
      </c>
      <c r="C17">
        <v>5</v>
      </c>
      <c r="D17" t="s">
        <v>22</v>
      </c>
      <c r="E17">
        <v>2021</v>
      </c>
      <c r="F17">
        <v>39</v>
      </c>
      <c r="G17" s="6" t="s">
        <v>35</v>
      </c>
      <c r="H17" s="6" t="s">
        <v>24</v>
      </c>
      <c r="I17" s="6" t="s">
        <v>61</v>
      </c>
      <c r="J17" s="6" t="s">
        <v>62</v>
      </c>
      <c r="K17" s="6" t="s">
        <v>27</v>
      </c>
      <c r="L17" s="6" t="s">
        <v>28</v>
      </c>
      <c r="M17" s="7" t="s">
        <v>36</v>
      </c>
      <c r="N17" s="7" t="s">
        <v>40</v>
      </c>
      <c r="O17" s="4">
        <v>46</v>
      </c>
      <c r="P17">
        <v>4</v>
      </c>
      <c r="Q17" s="2">
        <v>1252</v>
      </c>
      <c r="R17" s="2">
        <v>2295</v>
      </c>
      <c r="S17" s="2">
        <v>4172</v>
      </c>
      <c r="T17" s="2">
        <f>P17*Q17</f>
        <v>5008</v>
      </c>
      <c r="U17" s="2">
        <f>P17*R17</f>
        <v>9180</v>
      </c>
    </row>
    <row r="18" spans="1:21">
      <c r="A18" s="3" t="s">
        <v>64</v>
      </c>
      <c r="B18" s="1">
        <v>44537</v>
      </c>
      <c r="C18">
        <v>7</v>
      </c>
      <c r="D18" t="s">
        <v>22</v>
      </c>
      <c r="E18">
        <v>2021</v>
      </c>
      <c r="F18">
        <v>30</v>
      </c>
      <c r="G18" s="6" t="s">
        <v>23</v>
      </c>
      <c r="H18" s="6" t="s">
        <v>46</v>
      </c>
      <c r="I18" s="6" t="s">
        <v>61</v>
      </c>
      <c r="J18" s="6" t="s">
        <v>62</v>
      </c>
      <c r="K18" s="6" t="s">
        <v>27</v>
      </c>
      <c r="L18" s="6" t="s">
        <v>28</v>
      </c>
      <c r="M18" s="7" t="s">
        <v>29</v>
      </c>
      <c r="N18" s="7" t="s">
        <v>30</v>
      </c>
      <c r="O18" s="4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>
      <c r="A19" s="3" t="s">
        <v>65</v>
      </c>
      <c r="B19" s="1">
        <v>44538</v>
      </c>
      <c r="C19">
        <v>8</v>
      </c>
      <c r="D19" t="s">
        <v>22</v>
      </c>
      <c r="E19">
        <v>2021</v>
      </c>
      <c r="F19">
        <v>35</v>
      </c>
      <c r="G19" s="6" t="s">
        <v>35</v>
      </c>
      <c r="H19" s="6" t="s">
        <v>24</v>
      </c>
      <c r="I19" s="6" t="s">
        <v>61</v>
      </c>
      <c r="J19" s="6" t="s">
        <v>62</v>
      </c>
      <c r="K19" s="6" t="s">
        <v>27</v>
      </c>
      <c r="L19" s="6" t="s">
        <v>28</v>
      </c>
      <c r="M19" s="7" t="s">
        <v>33</v>
      </c>
      <c r="N19" s="7" t="s">
        <v>40</v>
      </c>
      <c r="O19" s="4">
        <v>42</v>
      </c>
      <c r="P19">
        <v>4</v>
      </c>
      <c r="Q19" s="2">
        <v>295</v>
      </c>
      <c r="R19" s="2">
        <v>540</v>
      </c>
      <c r="S19" s="2">
        <v>245</v>
      </c>
      <c r="T19" s="2">
        <f>P19*Q19</f>
        <v>1180</v>
      </c>
      <c r="U19" s="2">
        <f>P19*R19</f>
        <v>2160</v>
      </c>
    </row>
    <row r="20" spans="1:21">
      <c r="A20" s="3" t="s">
        <v>66</v>
      </c>
      <c r="B20" s="1">
        <v>44542</v>
      </c>
      <c r="C20">
        <v>12</v>
      </c>
      <c r="D20" t="s">
        <v>22</v>
      </c>
      <c r="E20">
        <v>2021</v>
      </c>
      <c r="F20">
        <v>37</v>
      </c>
      <c r="G20" s="6" t="s">
        <v>35</v>
      </c>
      <c r="H20" s="6" t="s">
        <v>46</v>
      </c>
      <c r="I20" s="6" t="s">
        <v>61</v>
      </c>
      <c r="J20" s="6" t="s">
        <v>62</v>
      </c>
      <c r="K20" s="6" t="s">
        <v>27</v>
      </c>
      <c r="L20" s="6" t="s">
        <v>28</v>
      </c>
      <c r="M20" s="7" t="s">
        <v>29</v>
      </c>
      <c r="N20" s="7" t="s">
        <v>30</v>
      </c>
      <c r="O20" s="4">
        <v>46</v>
      </c>
      <c r="P20">
        <v>4</v>
      </c>
      <c r="Q20" s="2">
        <v>420</v>
      </c>
      <c r="R20" s="2">
        <v>769</v>
      </c>
      <c r="S20" s="2">
        <v>1396</v>
      </c>
      <c r="T20" s="2">
        <f>P20*Q20</f>
        <v>1680</v>
      </c>
      <c r="U20" s="2">
        <f>P20*R20</f>
        <v>3076</v>
      </c>
    </row>
    <row r="21" spans="1:21">
      <c r="A21" s="3" t="s">
        <v>67</v>
      </c>
      <c r="B21" s="1">
        <v>44549</v>
      </c>
      <c r="C21">
        <v>19</v>
      </c>
      <c r="D21" t="s">
        <v>22</v>
      </c>
      <c r="E21">
        <v>2021</v>
      </c>
      <c r="F21">
        <v>35</v>
      </c>
      <c r="G21" s="6" t="s">
        <v>35</v>
      </c>
      <c r="H21" s="6" t="s">
        <v>24</v>
      </c>
      <c r="I21" s="6" t="s">
        <v>61</v>
      </c>
      <c r="J21" s="6" t="s">
        <v>68</v>
      </c>
      <c r="K21" s="6" t="s">
        <v>27</v>
      </c>
      <c r="L21" s="6" t="s">
        <v>28</v>
      </c>
      <c r="M21" s="7" t="s">
        <v>44</v>
      </c>
      <c r="N21" s="7" t="s">
        <v>40</v>
      </c>
      <c r="O21" s="4">
        <v>48</v>
      </c>
      <c r="P21">
        <v>4</v>
      </c>
      <c r="Q21" s="2">
        <v>1898</v>
      </c>
      <c r="R21" s="2">
        <v>3375</v>
      </c>
      <c r="S21" s="2">
        <v>5908</v>
      </c>
      <c r="T21" s="2">
        <f>P21*Q21</f>
        <v>7592</v>
      </c>
      <c r="U21" s="2">
        <f>P21*R21</f>
        <v>13500</v>
      </c>
    </row>
    <row r="22" spans="1:21">
      <c r="A22" s="3" t="s">
        <v>69</v>
      </c>
      <c r="B22" s="1">
        <v>44549</v>
      </c>
      <c r="C22">
        <v>19</v>
      </c>
      <c r="D22" t="s">
        <v>22</v>
      </c>
      <c r="E22">
        <v>2021</v>
      </c>
      <c r="F22">
        <v>37</v>
      </c>
      <c r="G22" s="6" t="s">
        <v>35</v>
      </c>
      <c r="H22" s="6" t="s">
        <v>46</v>
      </c>
      <c r="I22" s="6" t="s">
        <v>61</v>
      </c>
      <c r="J22" s="6" t="s">
        <v>68</v>
      </c>
      <c r="K22" s="6" t="s">
        <v>27</v>
      </c>
      <c r="L22" s="6" t="s">
        <v>28</v>
      </c>
      <c r="M22" s="7" t="s">
        <v>36</v>
      </c>
      <c r="N22" s="7" t="s">
        <v>40</v>
      </c>
      <c r="O22" s="4">
        <v>38</v>
      </c>
      <c r="P22">
        <v>4</v>
      </c>
      <c r="Q22" s="2">
        <v>1252</v>
      </c>
      <c r="R22" s="2">
        <v>2295</v>
      </c>
      <c r="S22" s="2">
        <v>4172</v>
      </c>
      <c r="T22" s="2">
        <f>P22*Q22</f>
        <v>5008</v>
      </c>
      <c r="U22" s="2">
        <f>P22*R22</f>
        <v>9180</v>
      </c>
    </row>
    <row r="23" spans="1:21">
      <c r="A23" s="3" t="s">
        <v>70</v>
      </c>
      <c r="B23" s="1">
        <v>44549</v>
      </c>
      <c r="C23">
        <v>19</v>
      </c>
      <c r="D23" t="s">
        <v>22</v>
      </c>
      <c r="E23">
        <v>2021</v>
      </c>
      <c r="F23">
        <v>39</v>
      </c>
      <c r="G23" s="6" t="s">
        <v>35</v>
      </c>
      <c r="H23" s="6" t="s">
        <v>24</v>
      </c>
      <c r="I23" s="6" t="s">
        <v>61</v>
      </c>
      <c r="J23" s="6" t="s">
        <v>62</v>
      </c>
      <c r="K23" s="6" t="s">
        <v>27</v>
      </c>
      <c r="L23" s="6" t="s">
        <v>28</v>
      </c>
      <c r="M23" s="7" t="s">
        <v>36</v>
      </c>
      <c r="N23" s="7" t="s">
        <v>40</v>
      </c>
      <c r="O23" s="4">
        <v>46</v>
      </c>
      <c r="P23">
        <v>4</v>
      </c>
      <c r="Q23" s="2">
        <v>1252</v>
      </c>
      <c r="R23" s="2">
        <v>2295</v>
      </c>
      <c r="S23" s="2">
        <v>4172</v>
      </c>
      <c r="T23" s="2">
        <f>P23*Q23</f>
        <v>5008</v>
      </c>
      <c r="U23" s="2">
        <f>P23*R23</f>
        <v>9180</v>
      </c>
    </row>
    <row r="24" spans="1:21">
      <c r="A24" s="3" t="s">
        <v>71</v>
      </c>
      <c r="B24" s="1">
        <v>44543</v>
      </c>
      <c r="C24">
        <v>13</v>
      </c>
      <c r="D24" t="s">
        <v>22</v>
      </c>
      <c r="E24">
        <v>2021</v>
      </c>
      <c r="F24">
        <v>32</v>
      </c>
      <c r="G24" s="6" t="s">
        <v>23</v>
      </c>
      <c r="H24" s="6" t="s">
        <v>24</v>
      </c>
      <c r="I24" s="6" t="s">
        <v>25</v>
      </c>
      <c r="J24" s="6" t="s">
        <v>42</v>
      </c>
      <c r="K24" s="6" t="s">
        <v>27</v>
      </c>
      <c r="L24" s="6" t="s">
        <v>28</v>
      </c>
      <c r="M24" s="7" t="s">
        <v>36</v>
      </c>
      <c r="N24" s="7" t="s">
        <v>30</v>
      </c>
      <c r="O24" s="4">
        <v>42</v>
      </c>
      <c r="P24">
        <v>3</v>
      </c>
      <c r="Q24" s="2">
        <v>1266</v>
      </c>
      <c r="R24" s="2">
        <v>2320</v>
      </c>
      <c r="S24" s="2">
        <v>3162</v>
      </c>
      <c r="T24" s="2">
        <f>P24*Q24</f>
        <v>3798</v>
      </c>
      <c r="U24" s="2">
        <f>P24*R24</f>
        <v>6960</v>
      </c>
    </row>
    <row r="25" spans="1:21">
      <c r="A25" s="3" t="s">
        <v>72</v>
      </c>
      <c r="B25" s="1">
        <v>44550</v>
      </c>
      <c r="C25">
        <v>20</v>
      </c>
      <c r="D25" t="s">
        <v>22</v>
      </c>
      <c r="E25">
        <v>2021</v>
      </c>
      <c r="F25">
        <v>29</v>
      </c>
      <c r="G25" s="6" t="s">
        <v>23</v>
      </c>
      <c r="H25" s="6" t="s">
        <v>46</v>
      </c>
      <c r="I25" s="6" t="s">
        <v>49</v>
      </c>
      <c r="J25" s="6" t="s">
        <v>50</v>
      </c>
      <c r="K25" s="6" t="s">
        <v>27</v>
      </c>
      <c r="L25" s="6" t="s">
        <v>28</v>
      </c>
      <c r="M25" s="7" t="s">
        <v>33</v>
      </c>
      <c r="N25" s="7" t="s">
        <v>40</v>
      </c>
      <c r="O25" s="4">
        <v>52</v>
      </c>
      <c r="P25">
        <v>3</v>
      </c>
      <c r="Q25" s="2">
        <v>295</v>
      </c>
      <c r="R25" s="2">
        <v>540</v>
      </c>
      <c r="S25" s="2">
        <v>735</v>
      </c>
      <c r="T25" s="2">
        <f>P25*Q25</f>
        <v>885</v>
      </c>
      <c r="U25" s="2">
        <f>P25*R25</f>
        <v>1620</v>
      </c>
    </row>
    <row r="26" spans="1:21">
      <c r="A26" s="3" t="s">
        <v>73</v>
      </c>
      <c r="B26" s="1">
        <v>44541</v>
      </c>
      <c r="C26">
        <v>11</v>
      </c>
      <c r="D26" t="s">
        <v>22</v>
      </c>
      <c r="E26">
        <v>2021</v>
      </c>
      <c r="F26">
        <v>24</v>
      </c>
      <c r="G26" s="6" t="s">
        <v>32</v>
      </c>
      <c r="H26" s="6" t="s">
        <v>24</v>
      </c>
      <c r="I26" s="6" t="s">
        <v>52</v>
      </c>
      <c r="J26" s="6" t="s">
        <v>55</v>
      </c>
      <c r="K26" s="6" t="s">
        <v>27</v>
      </c>
      <c r="L26" s="6" t="s">
        <v>28</v>
      </c>
      <c r="M26" s="7" t="s">
        <v>36</v>
      </c>
      <c r="N26" s="7" t="s">
        <v>40</v>
      </c>
      <c r="O26" s="4">
        <v>38</v>
      </c>
      <c r="P26">
        <v>3</v>
      </c>
      <c r="Q26" s="2">
        <v>1252</v>
      </c>
      <c r="R26" s="2">
        <v>2295</v>
      </c>
      <c r="S26" s="2">
        <v>3129</v>
      </c>
      <c r="T26" s="2">
        <f>P26*Q26</f>
        <v>3756</v>
      </c>
      <c r="U26" s="2">
        <f>P26*R26</f>
        <v>6885</v>
      </c>
    </row>
    <row r="27" spans="1:21">
      <c r="A27" s="3" t="s">
        <v>74</v>
      </c>
      <c r="B27" s="1">
        <v>44548</v>
      </c>
      <c r="C27">
        <v>18</v>
      </c>
      <c r="D27" t="s">
        <v>22</v>
      </c>
      <c r="E27">
        <v>2021</v>
      </c>
      <c r="F27">
        <v>24</v>
      </c>
      <c r="G27" s="6" t="s">
        <v>32</v>
      </c>
      <c r="H27" s="6" t="s">
        <v>24</v>
      </c>
      <c r="I27" s="6" t="s">
        <v>52</v>
      </c>
      <c r="J27" s="6" t="s">
        <v>75</v>
      </c>
      <c r="K27" s="6" t="s">
        <v>27</v>
      </c>
      <c r="L27" s="6" t="s">
        <v>28</v>
      </c>
      <c r="M27" s="7" t="s">
        <v>36</v>
      </c>
      <c r="N27" s="7" t="s">
        <v>30</v>
      </c>
      <c r="O27" s="4">
        <v>38</v>
      </c>
      <c r="P27">
        <v>3</v>
      </c>
      <c r="Q27" s="2">
        <v>1266</v>
      </c>
      <c r="R27" s="2">
        <v>2320</v>
      </c>
      <c r="S27" s="2">
        <v>3162</v>
      </c>
      <c r="T27" s="2">
        <f>P27*Q27</f>
        <v>3798</v>
      </c>
      <c r="U27" s="2">
        <f>P27*R27</f>
        <v>6960</v>
      </c>
    </row>
    <row r="28" spans="1:21">
      <c r="A28" s="3" t="s">
        <v>76</v>
      </c>
      <c r="B28" s="1">
        <v>44551</v>
      </c>
      <c r="C28">
        <v>21</v>
      </c>
      <c r="D28" t="s">
        <v>22</v>
      </c>
      <c r="E28">
        <v>2021</v>
      </c>
      <c r="F28">
        <v>26</v>
      </c>
      <c r="G28" s="6" t="s">
        <v>23</v>
      </c>
      <c r="H28" s="6" t="s">
        <v>46</v>
      </c>
      <c r="I28" s="6" t="s">
        <v>52</v>
      </c>
      <c r="J28" s="6" t="s">
        <v>77</v>
      </c>
      <c r="K28" s="6" t="s">
        <v>27</v>
      </c>
      <c r="L28" s="6" t="s">
        <v>28</v>
      </c>
      <c r="M28" s="7" t="s">
        <v>36</v>
      </c>
      <c r="N28" s="7" t="s">
        <v>30</v>
      </c>
      <c r="O28" s="4">
        <v>38</v>
      </c>
      <c r="P28">
        <v>3</v>
      </c>
      <c r="Q28" s="2">
        <v>1266</v>
      </c>
      <c r="R28" s="2">
        <v>2320</v>
      </c>
      <c r="S28" s="2">
        <v>3162</v>
      </c>
      <c r="T28" s="2">
        <f>P28*Q28</f>
        <v>3798</v>
      </c>
      <c r="U28" s="2">
        <f>P28*R28</f>
        <v>6960</v>
      </c>
    </row>
    <row r="29" spans="1:21">
      <c r="A29" s="3" t="s">
        <v>78</v>
      </c>
      <c r="B29" s="1">
        <v>44536</v>
      </c>
      <c r="C29">
        <v>6</v>
      </c>
      <c r="D29" t="s">
        <v>22</v>
      </c>
      <c r="E29">
        <v>2021</v>
      </c>
      <c r="F29">
        <v>23</v>
      </c>
      <c r="G29" s="6" t="s">
        <v>32</v>
      </c>
      <c r="H29" s="6" t="s">
        <v>46</v>
      </c>
      <c r="I29" s="6" t="s">
        <v>79</v>
      </c>
      <c r="J29" s="6" t="s">
        <v>80</v>
      </c>
      <c r="K29" s="6" t="s">
        <v>27</v>
      </c>
      <c r="L29" s="6" t="s">
        <v>28</v>
      </c>
      <c r="M29" s="7" t="s">
        <v>29</v>
      </c>
      <c r="N29" s="7" t="s">
        <v>30</v>
      </c>
      <c r="O29" s="4">
        <v>46</v>
      </c>
      <c r="P29">
        <v>3</v>
      </c>
      <c r="Q29" s="2">
        <v>420</v>
      </c>
      <c r="R29" s="2">
        <v>769</v>
      </c>
      <c r="S29" s="2">
        <v>1047</v>
      </c>
      <c r="T29" s="2">
        <f>P29*Q29</f>
        <v>1260</v>
      </c>
      <c r="U29" s="2">
        <f>P29*R29</f>
        <v>2307</v>
      </c>
    </row>
    <row r="30" spans="1:21">
      <c r="A30" s="3" t="s">
        <v>81</v>
      </c>
      <c r="B30" s="1">
        <v>44548</v>
      </c>
      <c r="C30">
        <v>18</v>
      </c>
      <c r="D30" t="s">
        <v>22</v>
      </c>
      <c r="E30">
        <v>2021</v>
      </c>
      <c r="F30">
        <v>26</v>
      </c>
      <c r="G30" s="6" t="s">
        <v>23</v>
      </c>
      <c r="H30" s="6" t="s">
        <v>24</v>
      </c>
      <c r="I30" s="6" t="s">
        <v>79</v>
      </c>
      <c r="J30" s="6" t="s">
        <v>80</v>
      </c>
      <c r="K30" s="6" t="s">
        <v>27</v>
      </c>
      <c r="L30" s="6" t="s">
        <v>28</v>
      </c>
      <c r="M30" s="7" t="s">
        <v>29</v>
      </c>
      <c r="N30" s="7" t="s">
        <v>30</v>
      </c>
      <c r="O30" s="4">
        <v>42</v>
      </c>
      <c r="P30">
        <v>3</v>
      </c>
      <c r="Q30" s="2">
        <v>420</v>
      </c>
      <c r="R30" s="2">
        <v>769</v>
      </c>
      <c r="S30" s="2">
        <v>1047</v>
      </c>
      <c r="T30" s="2">
        <f>P30*Q30</f>
        <v>1260</v>
      </c>
      <c r="U30" s="2">
        <f>P30*R30</f>
        <v>2307</v>
      </c>
    </row>
    <row r="31" spans="1:21">
      <c r="A31" s="3" t="s">
        <v>82</v>
      </c>
      <c r="B31" s="1">
        <v>44548</v>
      </c>
      <c r="C31">
        <v>18</v>
      </c>
      <c r="D31" t="s">
        <v>22</v>
      </c>
      <c r="E31">
        <v>2021</v>
      </c>
      <c r="F31">
        <v>39</v>
      </c>
      <c r="G31" s="6" t="s">
        <v>35</v>
      </c>
      <c r="H31" s="6" t="s">
        <v>46</v>
      </c>
      <c r="I31" s="6" t="s">
        <v>61</v>
      </c>
      <c r="J31" s="6" t="s">
        <v>62</v>
      </c>
      <c r="K31" s="6" t="s">
        <v>27</v>
      </c>
      <c r="L31" s="6" t="s">
        <v>28</v>
      </c>
      <c r="M31" s="7" t="s">
        <v>36</v>
      </c>
      <c r="N31" s="7" t="s">
        <v>40</v>
      </c>
      <c r="O31" s="4">
        <v>42</v>
      </c>
      <c r="P31">
        <v>3</v>
      </c>
      <c r="Q31" s="2">
        <v>1252</v>
      </c>
      <c r="R31" s="2">
        <v>2295</v>
      </c>
      <c r="S31" s="2">
        <v>3129</v>
      </c>
      <c r="T31" s="2">
        <f>P31*Q31</f>
        <v>3756</v>
      </c>
      <c r="U31" s="2">
        <f>P31*R31</f>
        <v>6885</v>
      </c>
    </row>
    <row r="32" spans="1:21">
      <c r="A32" s="3" t="s">
        <v>83</v>
      </c>
      <c r="B32" s="1">
        <v>44552</v>
      </c>
      <c r="C32">
        <v>22</v>
      </c>
      <c r="D32" t="s">
        <v>22</v>
      </c>
      <c r="E32">
        <v>2021</v>
      </c>
      <c r="F32">
        <v>30</v>
      </c>
      <c r="G32" s="6" t="s">
        <v>23</v>
      </c>
      <c r="H32" s="6" t="s">
        <v>24</v>
      </c>
      <c r="I32" s="6" t="s">
        <v>61</v>
      </c>
      <c r="J32" s="6" t="s">
        <v>84</v>
      </c>
      <c r="K32" s="6" t="s">
        <v>27</v>
      </c>
      <c r="L32" s="6" t="s">
        <v>28</v>
      </c>
      <c r="M32" s="7" t="s">
        <v>36</v>
      </c>
      <c r="N32" s="7" t="s">
        <v>30</v>
      </c>
      <c r="O32" s="4">
        <v>38</v>
      </c>
      <c r="P32">
        <v>3</v>
      </c>
      <c r="Q32" s="2">
        <v>1266</v>
      </c>
      <c r="R32" s="2">
        <v>2320</v>
      </c>
      <c r="S32" s="2">
        <v>3162</v>
      </c>
      <c r="T32" s="2">
        <f>P32*Q32</f>
        <v>3798</v>
      </c>
      <c r="U32" s="2">
        <f>P32*R32</f>
        <v>6960</v>
      </c>
    </row>
    <row r="33" spans="1:21">
      <c r="A33" s="3" t="s">
        <v>85</v>
      </c>
      <c r="B33" s="1">
        <v>44552</v>
      </c>
      <c r="C33">
        <v>22</v>
      </c>
      <c r="D33" t="s">
        <v>22</v>
      </c>
      <c r="E33">
        <v>2021</v>
      </c>
      <c r="F33">
        <v>41</v>
      </c>
      <c r="G33" s="6" t="s">
        <v>35</v>
      </c>
      <c r="H33" s="6" t="s">
        <v>46</v>
      </c>
      <c r="I33" s="6" t="s">
        <v>61</v>
      </c>
      <c r="J33" s="6" t="s">
        <v>62</v>
      </c>
      <c r="K33" s="6" t="s">
        <v>27</v>
      </c>
      <c r="L33" s="6" t="s">
        <v>28</v>
      </c>
      <c r="M33" s="7" t="s">
        <v>36</v>
      </c>
      <c r="N33" s="7" t="s">
        <v>40</v>
      </c>
      <c r="O33" s="4">
        <v>42</v>
      </c>
      <c r="P33">
        <v>3</v>
      </c>
      <c r="Q33" s="2">
        <v>1252</v>
      </c>
      <c r="R33" s="2">
        <v>2295</v>
      </c>
      <c r="S33" s="2">
        <v>3129</v>
      </c>
      <c r="T33" s="2">
        <f>P33*Q33</f>
        <v>3756</v>
      </c>
      <c r="U33" s="2">
        <f>P33*R33</f>
        <v>6885</v>
      </c>
    </row>
    <row r="34" spans="1:21">
      <c r="A34" s="3" t="s">
        <v>86</v>
      </c>
      <c r="B34" s="1">
        <v>44539</v>
      </c>
      <c r="C34">
        <v>9</v>
      </c>
      <c r="D34" t="s">
        <v>22</v>
      </c>
      <c r="E34">
        <v>2021</v>
      </c>
      <c r="F34">
        <v>33</v>
      </c>
      <c r="G34" s="6" t="s">
        <v>23</v>
      </c>
      <c r="H34" s="6" t="s">
        <v>24</v>
      </c>
      <c r="I34" s="6" t="s">
        <v>25</v>
      </c>
      <c r="J34" s="6" t="s">
        <v>39</v>
      </c>
      <c r="K34" s="6" t="s">
        <v>27</v>
      </c>
      <c r="L34" s="6" t="s">
        <v>28</v>
      </c>
      <c r="M34" s="7" t="s">
        <v>44</v>
      </c>
      <c r="N34" s="7" t="s">
        <v>40</v>
      </c>
      <c r="O34" s="4">
        <v>38</v>
      </c>
      <c r="P34">
        <v>2</v>
      </c>
      <c r="Q34" s="2">
        <v>1898</v>
      </c>
      <c r="R34" s="2">
        <v>3375</v>
      </c>
      <c r="S34" s="2">
        <v>2954</v>
      </c>
      <c r="T34" s="2">
        <f>P34*Q34</f>
        <v>3796</v>
      </c>
      <c r="U34" s="2">
        <f>P34*R34</f>
        <v>6750</v>
      </c>
    </row>
    <row r="35" spans="1:21">
      <c r="A35" s="3" t="s">
        <v>87</v>
      </c>
      <c r="B35" s="1">
        <v>44540</v>
      </c>
      <c r="C35">
        <v>10</v>
      </c>
      <c r="D35" t="s">
        <v>22</v>
      </c>
      <c r="E35">
        <v>2021</v>
      </c>
      <c r="F35">
        <v>40</v>
      </c>
      <c r="G35" s="6" t="s">
        <v>35</v>
      </c>
      <c r="H35" s="6" t="s">
        <v>46</v>
      </c>
      <c r="I35" s="6" t="s">
        <v>25</v>
      </c>
      <c r="J35" s="6" t="s">
        <v>26</v>
      </c>
      <c r="K35" s="6" t="s">
        <v>27</v>
      </c>
      <c r="L35" s="6" t="s">
        <v>28</v>
      </c>
      <c r="M35" s="7" t="s">
        <v>36</v>
      </c>
      <c r="N35" s="7" t="s">
        <v>40</v>
      </c>
      <c r="O35" s="4">
        <v>42</v>
      </c>
      <c r="P35">
        <v>2</v>
      </c>
      <c r="Q35" s="2">
        <v>1252</v>
      </c>
      <c r="R35" s="2">
        <v>2295</v>
      </c>
      <c r="S35" s="2">
        <v>2086</v>
      </c>
      <c r="T35" s="2">
        <f>P35*Q35</f>
        <v>2504</v>
      </c>
      <c r="U35" s="2">
        <f>P35*R35</f>
        <v>4590</v>
      </c>
    </row>
    <row r="36" spans="1:21">
      <c r="A36" s="3" t="s">
        <v>88</v>
      </c>
      <c r="B36" s="1">
        <v>44541</v>
      </c>
      <c r="C36">
        <v>11</v>
      </c>
      <c r="D36" t="s">
        <v>22</v>
      </c>
      <c r="E36">
        <v>2021</v>
      </c>
      <c r="F36">
        <v>41</v>
      </c>
      <c r="G36" s="6" t="s">
        <v>35</v>
      </c>
      <c r="H36" s="6" t="s">
        <v>24</v>
      </c>
      <c r="I36" s="6" t="s">
        <v>25</v>
      </c>
      <c r="J36" s="6" t="s">
        <v>26</v>
      </c>
      <c r="K36" s="6" t="s">
        <v>27</v>
      </c>
      <c r="L36" s="6" t="s">
        <v>28</v>
      </c>
      <c r="M36" s="7" t="s">
        <v>29</v>
      </c>
      <c r="N36" s="7" t="s">
        <v>30</v>
      </c>
      <c r="O36" s="4">
        <v>38</v>
      </c>
      <c r="P36">
        <v>2</v>
      </c>
      <c r="Q36" s="2">
        <v>420</v>
      </c>
      <c r="R36" s="2">
        <v>769</v>
      </c>
      <c r="S36" s="2">
        <v>698</v>
      </c>
      <c r="T36" s="2">
        <f>P36*Q36</f>
        <v>840</v>
      </c>
      <c r="U36" s="2">
        <f>P36*R36</f>
        <v>1538</v>
      </c>
    </row>
    <row r="37" spans="1:21">
      <c r="A37" s="3" t="s">
        <v>89</v>
      </c>
      <c r="B37" s="1">
        <v>44542</v>
      </c>
      <c r="C37">
        <v>12</v>
      </c>
      <c r="D37" t="s">
        <v>22</v>
      </c>
      <c r="E37">
        <v>2021</v>
      </c>
      <c r="F37">
        <v>34</v>
      </c>
      <c r="G37" s="6" t="s">
        <v>23</v>
      </c>
      <c r="H37" s="6" t="s">
        <v>46</v>
      </c>
      <c r="I37" s="6" t="s">
        <v>25</v>
      </c>
      <c r="J37" s="6" t="s">
        <v>26</v>
      </c>
      <c r="K37" s="6" t="s">
        <v>27</v>
      </c>
      <c r="L37" s="6" t="s">
        <v>28</v>
      </c>
      <c r="M37" s="7" t="s">
        <v>36</v>
      </c>
      <c r="N37" s="7" t="s">
        <v>40</v>
      </c>
      <c r="O37" s="4">
        <v>38</v>
      </c>
      <c r="P37">
        <v>2</v>
      </c>
      <c r="Q37" s="2">
        <v>1252</v>
      </c>
      <c r="R37" s="2">
        <v>2295</v>
      </c>
      <c r="S37" s="2">
        <v>2086</v>
      </c>
      <c r="T37" s="2">
        <f>P37*Q37</f>
        <v>2504</v>
      </c>
      <c r="U37" s="2">
        <f>P37*R37</f>
        <v>4590</v>
      </c>
    </row>
    <row r="38" spans="1:21">
      <c r="A38" s="3" t="s">
        <v>90</v>
      </c>
      <c r="B38" s="1">
        <v>44546</v>
      </c>
      <c r="C38">
        <v>16</v>
      </c>
      <c r="D38" t="s">
        <v>22</v>
      </c>
      <c r="E38">
        <v>2021</v>
      </c>
      <c r="F38">
        <v>33</v>
      </c>
      <c r="G38" s="6" t="s">
        <v>23</v>
      </c>
      <c r="H38" s="6" t="s">
        <v>24</v>
      </c>
      <c r="I38" s="6" t="s">
        <v>25</v>
      </c>
      <c r="J38" s="6" t="s">
        <v>26</v>
      </c>
      <c r="K38" s="6" t="s">
        <v>27</v>
      </c>
      <c r="L38" s="6" t="s">
        <v>28</v>
      </c>
      <c r="M38" s="7" t="s">
        <v>36</v>
      </c>
      <c r="N38" s="7" t="s">
        <v>40</v>
      </c>
      <c r="O38" s="4">
        <v>38</v>
      </c>
      <c r="P38">
        <v>2</v>
      </c>
      <c r="Q38" s="2">
        <v>1252</v>
      </c>
      <c r="R38" s="2">
        <v>2295</v>
      </c>
      <c r="S38" s="2">
        <v>2086</v>
      </c>
      <c r="T38" s="2">
        <f>P38*Q38</f>
        <v>2504</v>
      </c>
      <c r="U38" s="2">
        <f>P38*R38</f>
        <v>4590</v>
      </c>
    </row>
    <row r="39" spans="1:21">
      <c r="A39" s="3" t="s">
        <v>91</v>
      </c>
      <c r="B39" s="1">
        <v>44546</v>
      </c>
      <c r="C39">
        <v>16</v>
      </c>
      <c r="D39" t="s">
        <v>22</v>
      </c>
      <c r="E39">
        <v>2021</v>
      </c>
      <c r="F39">
        <v>38</v>
      </c>
      <c r="G39" s="6" t="s">
        <v>35</v>
      </c>
      <c r="H39" s="6" t="s">
        <v>46</v>
      </c>
      <c r="I39" s="6" t="s">
        <v>25</v>
      </c>
      <c r="J39" s="6" t="s">
        <v>26</v>
      </c>
      <c r="K39" s="6" t="s">
        <v>27</v>
      </c>
      <c r="L39" s="6" t="s">
        <v>28</v>
      </c>
      <c r="M39" s="7" t="s">
        <v>36</v>
      </c>
      <c r="N39" s="7" t="s">
        <v>40</v>
      </c>
      <c r="O39" s="4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>
      <c r="A40" s="3" t="s">
        <v>92</v>
      </c>
      <c r="B40" s="1">
        <v>44549</v>
      </c>
      <c r="C40">
        <v>19</v>
      </c>
      <c r="D40" t="s">
        <v>22</v>
      </c>
      <c r="E40">
        <v>2021</v>
      </c>
      <c r="F40">
        <v>18</v>
      </c>
      <c r="G40" s="6" t="s">
        <v>32</v>
      </c>
      <c r="H40" s="6" t="s">
        <v>46</v>
      </c>
      <c r="I40" s="6" t="s">
        <v>25</v>
      </c>
      <c r="J40" s="6" t="s">
        <v>93</v>
      </c>
      <c r="K40" s="6" t="s">
        <v>27</v>
      </c>
      <c r="L40" s="6" t="s">
        <v>28</v>
      </c>
      <c r="M40" s="7" t="s">
        <v>33</v>
      </c>
      <c r="N40" s="7" t="s">
        <v>40</v>
      </c>
      <c r="O40" s="4">
        <v>40</v>
      </c>
      <c r="P40">
        <v>2</v>
      </c>
      <c r="Q40" s="2">
        <v>295</v>
      </c>
      <c r="R40" s="2">
        <v>540</v>
      </c>
      <c r="S40" s="2">
        <v>490</v>
      </c>
      <c r="T40" s="2">
        <f>P40*Q40</f>
        <v>590</v>
      </c>
      <c r="U40" s="2">
        <f>P40*R40</f>
        <v>1080</v>
      </c>
    </row>
    <row r="41" spans="1:21">
      <c r="A41" s="3" t="s">
        <v>94</v>
      </c>
      <c r="B41" s="1">
        <v>44549</v>
      </c>
      <c r="C41">
        <v>19</v>
      </c>
      <c r="D41" t="s">
        <v>22</v>
      </c>
      <c r="E41">
        <v>2021</v>
      </c>
      <c r="F41">
        <v>56</v>
      </c>
      <c r="G41" s="6" t="s">
        <v>35</v>
      </c>
      <c r="H41" s="6" t="s">
        <v>24</v>
      </c>
      <c r="I41" s="6" t="s">
        <v>57</v>
      </c>
      <c r="J41" s="6" t="s">
        <v>95</v>
      </c>
      <c r="K41" s="6" t="s">
        <v>27</v>
      </c>
      <c r="L41" s="6" t="s">
        <v>28</v>
      </c>
      <c r="M41" s="7" t="s">
        <v>36</v>
      </c>
      <c r="N41" s="7" t="s">
        <v>40</v>
      </c>
      <c r="O41" s="4">
        <v>46</v>
      </c>
      <c r="P41">
        <v>2</v>
      </c>
      <c r="Q41" s="2">
        <v>1252</v>
      </c>
      <c r="R41" s="2">
        <v>2295</v>
      </c>
      <c r="S41" s="2">
        <v>2086</v>
      </c>
      <c r="T41" s="2">
        <f>P41*Q41</f>
        <v>2504</v>
      </c>
      <c r="U41" s="2">
        <f>P41*R41</f>
        <v>4590</v>
      </c>
    </row>
    <row r="42" spans="1:21">
      <c r="A42" s="3" t="s">
        <v>96</v>
      </c>
      <c r="B42" s="1">
        <v>44551</v>
      </c>
      <c r="C42">
        <v>21</v>
      </c>
      <c r="D42" t="s">
        <v>22</v>
      </c>
      <c r="E42">
        <v>2021</v>
      </c>
      <c r="F42">
        <v>23</v>
      </c>
      <c r="G42" s="6" t="s">
        <v>32</v>
      </c>
      <c r="H42" s="6" t="s">
        <v>46</v>
      </c>
      <c r="I42" s="6" t="s">
        <v>79</v>
      </c>
      <c r="J42" s="6" t="s">
        <v>80</v>
      </c>
      <c r="K42" s="6" t="s">
        <v>27</v>
      </c>
      <c r="L42" s="6" t="s">
        <v>28</v>
      </c>
      <c r="M42" s="7" t="s">
        <v>29</v>
      </c>
      <c r="N42" s="7" t="s">
        <v>30</v>
      </c>
      <c r="O42" s="4">
        <v>46</v>
      </c>
      <c r="P42">
        <v>2</v>
      </c>
      <c r="Q42" s="2">
        <v>420</v>
      </c>
      <c r="R42" s="2">
        <v>769</v>
      </c>
      <c r="S42" s="2">
        <v>698</v>
      </c>
      <c r="T42" s="2">
        <f>P42*Q42</f>
        <v>840</v>
      </c>
      <c r="U42" s="2">
        <f>P42*R42</f>
        <v>1538</v>
      </c>
    </row>
    <row r="43" spans="1:21">
      <c r="A43" s="3" t="s">
        <v>97</v>
      </c>
      <c r="B43" s="1">
        <v>44532</v>
      </c>
      <c r="C43">
        <v>2</v>
      </c>
      <c r="D43" t="s">
        <v>22</v>
      </c>
      <c r="E43">
        <v>2021</v>
      </c>
      <c r="F43">
        <v>37</v>
      </c>
      <c r="G43" s="6" t="s">
        <v>35</v>
      </c>
      <c r="H43" s="6" t="s">
        <v>46</v>
      </c>
      <c r="I43" s="6" t="s">
        <v>61</v>
      </c>
      <c r="J43" s="6" t="s">
        <v>62</v>
      </c>
      <c r="K43" s="6" t="s">
        <v>27</v>
      </c>
      <c r="L43" s="6" t="s">
        <v>28</v>
      </c>
      <c r="M43" s="7" t="s">
        <v>29</v>
      </c>
      <c r="N43" s="7" t="s">
        <v>30</v>
      </c>
      <c r="O43" s="4">
        <v>46</v>
      </c>
      <c r="P43">
        <v>2</v>
      </c>
      <c r="Q43" s="2">
        <v>420</v>
      </c>
      <c r="R43" s="2">
        <v>769</v>
      </c>
      <c r="S43" s="2">
        <v>698</v>
      </c>
      <c r="T43" s="2">
        <f>P43*Q43</f>
        <v>840</v>
      </c>
      <c r="U43" s="2">
        <f>P43*R43</f>
        <v>1538</v>
      </c>
    </row>
    <row r="44" spans="1:21">
      <c r="A44" s="3" t="s">
        <v>98</v>
      </c>
      <c r="B44" s="1">
        <v>44533</v>
      </c>
      <c r="C44">
        <v>3</v>
      </c>
      <c r="D44" t="s">
        <v>22</v>
      </c>
      <c r="E44">
        <v>2021</v>
      </c>
      <c r="F44">
        <v>37</v>
      </c>
      <c r="G44" s="6" t="s">
        <v>35</v>
      </c>
      <c r="H44" s="6" t="s">
        <v>24</v>
      </c>
      <c r="I44" s="6" t="s">
        <v>61</v>
      </c>
      <c r="J44" s="6" t="s">
        <v>62</v>
      </c>
      <c r="K44" s="6" t="s">
        <v>27</v>
      </c>
      <c r="L44" s="6" t="s">
        <v>28</v>
      </c>
      <c r="M44" s="7" t="s">
        <v>36</v>
      </c>
      <c r="N44" s="7" t="s">
        <v>40</v>
      </c>
      <c r="O44" s="4">
        <v>46</v>
      </c>
      <c r="P44">
        <v>2</v>
      </c>
      <c r="Q44" s="2">
        <v>1252</v>
      </c>
      <c r="R44" s="2">
        <v>2295</v>
      </c>
      <c r="S44" s="2">
        <v>2086</v>
      </c>
      <c r="T44" s="2">
        <f>P44*Q44</f>
        <v>2504</v>
      </c>
      <c r="U44" s="2">
        <f>P44*R44</f>
        <v>4590</v>
      </c>
    </row>
    <row r="45" spans="1:21">
      <c r="A45" s="3" t="s">
        <v>99</v>
      </c>
      <c r="B45" s="1">
        <v>44537</v>
      </c>
      <c r="C45">
        <v>7</v>
      </c>
      <c r="D45" t="s">
        <v>22</v>
      </c>
      <c r="E45">
        <v>2021</v>
      </c>
      <c r="F45">
        <v>38</v>
      </c>
      <c r="G45" s="6" t="s">
        <v>35</v>
      </c>
      <c r="H45" s="6" t="s">
        <v>46</v>
      </c>
      <c r="I45" s="6" t="s">
        <v>61</v>
      </c>
      <c r="J45" s="6" t="s">
        <v>62</v>
      </c>
      <c r="K45" s="6" t="s">
        <v>27</v>
      </c>
      <c r="L45" s="6" t="s">
        <v>28</v>
      </c>
      <c r="M45" s="7" t="s">
        <v>36</v>
      </c>
      <c r="N45" s="7" t="s">
        <v>30</v>
      </c>
      <c r="O45" s="4">
        <v>42</v>
      </c>
      <c r="P45">
        <v>2</v>
      </c>
      <c r="Q45" s="2">
        <v>1266</v>
      </c>
      <c r="R45" s="2">
        <v>2320</v>
      </c>
      <c r="S45" s="2">
        <v>2108</v>
      </c>
      <c r="T45" s="2">
        <f>P45*Q45</f>
        <v>2532</v>
      </c>
      <c r="U45" s="2">
        <f>P45*R45</f>
        <v>4640</v>
      </c>
    </row>
    <row r="46" spans="1:21">
      <c r="A46" s="3" t="s">
        <v>100</v>
      </c>
      <c r="B46" s="1">
        <v>44538</v>
      </c>
      <c r="C46">
        <v>8</v>
      </c>
      <c r="D46" t="s">
        <v>22</v>
      </c>
      <c r="E46">
        <v>2021</v>
      </c>
      <c r="F46">
        <v>39</v>
      </c>
      <c r="G46" s="6" t="s">
        <v>35</v>
      </c>
      <c r="H46" s="6" t="s">
        <v>24</v>
      </c>
      <c r="I46" s="6" t="s">
        <v>61</v>
      </c>
      <c r="J46" s="6" t="s">
        <v>68</v>
      </c>
      <c r="K46" s="6" t="s">
        <v>27</v>
      </c>
      <c r="L46" s="6" t="s">
        <v>28</v>
      </c>
      <c r="M46" s="7" t="s">
        <v>36</v>
      </c>
      <c r="N46" s="7" t="s">
        <v>40</v>
      </c>
      <c r="O46" s="4">
        <v>42</v>
      </c>
      <c r="P46">
        <v>2</v>
      </c>
      <c r="Q46" s="2">
        <v>1252</v>
      </c>
      <c r="R46" s="2">
        <v>2295</v>
      </c>
      <c r="S46" s="2">
        <v>2086</v>
      </c>
      <c r="T46" s="2">
        <f>P46*Q46</f>
        <v>2504</v>
      </c>
      <c r="U46" s="2">
        <f>P46*R46</f>
        <v>4590</v>
      </c>
    </row>
    <row r="47" spans="1:21">
      <c r="A47" s="3" t="s">
        <v>101</v>
      </c>
      <c r="B47" s="1">
        <v>44540</v>
      </c>
      <c r="C47">
        <v>10</v>
      </c>
      <c r="D47" t="s">
        <v>22</v>
      </c>
      <c r="E47">
        <v>2021</v>
      </c>
      <c r="F47">
        <v>34</v>
      </c>
      <c r="G47" s="6" t="s">
        <v>23</v>
      </c>
      <c r="H47" s="6" t="s">
        <v>24</v>
      </c>
      <c r="I47" s="6" t="s">
        <v>61</v>
      </c>
      <c r="J47" s="6" t="s">
        <v>62</v>
      </c>
      <c r="K47" s="6" t="s">
        <v>27</v>
      </c>
      <c r="L47" s="6" t="s">
        <v>28</v>
      </c>
      <c r="M47" s="7" t="s">
        <v>36</v>
      </c>
      <c r="N47" s="7" t="s">
        <v>40</v>
      </c>
      <c r="O47" s="4">
        <v>42</v>
      </c>
      <c r="P47">
        <v>2</v>
      </c>
      <c r="Q47" s="2">
        <v>1252</v>
      </c>
      <c r="R47" s="2">
        <v>2295</v>
      </c>
      <c r="S47" s="2">
        <v>2086</v>
      </c>
      <c r="T47" s="2">
        <f>P47*Q47</f>
        <v>2504</v>
      </c>
      <c r="U47" s="2">
        <f>P47*R47</f>
        <v>4590</v>
      </c>
    </row>
    <row r="48" spans="1:21">
      <c r="A48" s="3" t="s">
        <v>102</v>
      </c>
      <c r="B48" s="1">
        <v>44544</v>
      </c>
      <c r="C48">
        <v>14</v>
      </c>
      <c r="D48" t="s">
        <v>22</v>
      </c>
      <c r="E48">
        <v>2021</v>
      </c>
      <c r="F48">
        <v>30</v>
      </c>
      <c r="G48" s="6" t="s">
        <v>23</v>
      </c>
      <c r="H48" s="6" t="s">
        <v>24</v>
      </c>
      <c r="I48" s="6" t="s">
        <v>61</v>
      </c>
      <c r="J48" s="6" t="s">
        <v>84</v>
      </c>
      <c r="K48" s="6" t="s">
        <v>27</v>
      </c>
      <c r="L48" s="6" t="s">
        <v>28</v>
      </c>
      <c r="M48" s="7" t="s">
        <v>36</v>
      </c>
      <c r="N48" s="7" t="s">
        <v>30</v>
      </c>
      <c r="O48" s="4">
        <v>38</v>
      </c>
      <c r="P48">
        <v>2</v>
      </c>
      <c r="Q48" s="2">
        <v>1266</v>
      </c>
      <c r="R48" s="2">
        <v>2320</v>
      </c>
      <c r="S48" s="2">
        <v>2108</v>
      </c>
      <c r="T48" s="2">
        <f>P48*Q48</f>
        <v>2532</v>
      </c>
      <c r="U48" s="2">
        <f>P48*R48</f>
        <v>4640</v>
      </c>
    </row>
    <row r="49" spans="1:21">
      <c r="A49" s="3" t="s">
        <v>103</v>
      </c>
      <c r="B49" s="1">
        <v>44547</v>
      </c>
      <c r="C49">
        <v>17</v>
      </c>
      <c r="D49" t="s">
        <v>22</v>
      </c>
      <c r="E49">
        <v>2021</v>
      </c>
      <c r="F49">
        <v>37</v>
      </c>
      <c r="G49" s="6" t="s">
        <v>35</v>
      </c>
      <c r="H49" s="6" t="s">
        <v>24</v>
      </c>
      <c r="I49" s="6" t="s">
        <v>61</v>
      </c>
      <c r="J49" s="6" t="s">
        <v>84</v>
      </c>
      <c r="K49" s="6" t="s">
        <v>27</v>
      </c>
      <c r="L49" s="6" t="s">
        <v>28</v>
      </c>
      <c r="M49" s="7" t="s">
        <v>36</v>
      </c>
      <c r="N49" s="7" t="s">
        <v>30</v>
      </c>
      <c r="O49" s="4">
        <v>38</v>
      </c>
      <c r="P49">
        <v>2</v>
      </c>
      <c r="Q49" s="2">
        <v>1266</v>
      </c>
      <c r="R49" s="2">
        <v>2320</v>
      </c>
      <c r="S49" s="2">
        <v>2108</v>
      </c>
      <c r="T49" s="2">
        <f>P49*Q49</f>
        <v>2532</v>
      </c>
      <c r="U49" s="2">
        <f>P49*R49</f>
        <v>4640</v>
      </c>
    </row>
    <row r="50" spans="1:21">
      <c r="A50" s="3" t="s">
        <v>104</v>
      </c>
      <c r="B50" s="1">
        <v>44532</v>
      </c>
      <c r="C50">
        <v>2</v>
      </c>
      <c r="D50" t="s">
        <v>22</v>
      </c>
      <c r="E50">
        <v>2021</v>
      </c>
      <c r="F50">
        <v>31</v>
      </c>
      <c r="G50" s="6" t="s">
        <v>23</v>
      </c>
      <c r="H50" s="6" t="s">
        <v>24</v>
      </c>
      <c r="I50" s="6" t="s">
        <v>25</v>
      </c>
      <c r="J50" s="6" t="s">
        <v>26</v>
      </c>
      <c r="K50" s="6" t="s">
        <v>27</v>
      </c>
      <c r="L50" s="6" t="s">
        <v>28</v>
      </c>
      <c r="M50" s="7" t="s">
        <v>29</v>
      </c>
      <c r="N50" s="7" t="s">
        <v>30</v>
      </c>
      <c r="O50" s="4">
        <v>42</v>
      </c>
      <c r="P50">
        <v>1</v>
      </c>
      <c r="Q50" s="2">
        <v>420</v>
      </c>
      <c r="R50" s="2">
        <v>769</v>
      </c>
      <c r="S50" s="2">
        <v>349</v>
      </c>
      <c r="T50" s="2">
        <f>P50*Q50</f>
        <v>420</v>
      </c>
      <c r="U50" s="2">
        <f>P50*R50</f>
        <v>769</v>
      </c>
    </row>
    <row r="51" spans="1:21">
      <c r="A51" s="3" t="s">
        <v>105</v>
      </c>
      <c r="B51" s="1">
        <v>44535</v>
      </c>
      <c r="C51">
        <v>5</v>
      </c>
      <c r="D51" t="s">
        <v>22</v>
      </c>
      <c r="E51">
        <v>2021</v>
      </c>
      <c r="F51">
        <v>35</v>
      </c>
      <c r="G51" s="6" t="s">
        <v>35</v>
      </c>
      <c r="H51" s="6" t="s">
        <v>24</v>
      </c>
      <c r="I51" s="6" t="s">
        <v>25</v>
      </c>
      <c r="J51" s="6" t="s">
        <v>42</v>
      </c>
      <c r="K51" s="6" t="s">
        <v>27</v>
      </c>
      <c r="L51" s="6" t="s">
        <v>28</v>
      </c>
      <c r="M51" s="7" t="s">
        <v>36</v>
      </c>
      <c r="N51" s="7" t="s">
        <v>30</v>
      </c>
      <c r="O51" s="4">
        <v>38</v>
      </c>
      <c r="P51">
        <v>1</v>
      </c>
      <c r="Q51" s="2">
        <v>1266</v>
      </c>
      <c r="R51" s="2">
        <v>2320</v>
      </c>
      <c r="S51" s="2">
        <v>1054</v>
      </c>
      <c r="T51" s="2">
        <f>P51*Q51</f>
        <v>1266</v>
      </c>
      <c r="U51" s="2">
        <f>P51*R51</f>
        <v>2320</v>
      </c>
    </row>
    <row r="52" spans="1:21">
      <c r="A52" s="3" t="s">
        <v>106</v>
      </c>
      <c r="B52" s="1">
        <v>44536</v>
      </c>
      <c r="C52">
        <v>6</v>
      </c>
      <c r="D52" t="s">
        <v>22</v>
      </c>
      <c r="E52">
        <v>2021</v>
      </c>
      <c r="F52">
        <v>36</v>
      </c>
      <c r="G52" s="6" t="s">
        <v>32</v>
      </c>
      <c r="H52" s="6" t="s">
        <v>46</v>
      </c>
      <c r="I52" s="6" t="s">
        <v>25</v>
      </c>
      <c r="J52" s="6" t="s">
        <v>26</v>
      </c>
      <c r="K52" s="6" t="s">
        <v>27</v>
      </c>
      <c r="L52" s="6" t="s">
        <v>28</v>
      </c>
      <c r="M52" s="7" t="s">
        <v>36</v>
      </c>
      <c r="N52" s="7" t="s">
        <v>40</v>
      </c>
      <c r="O52" s="4">
        <v>42</v>
      </c>
      <c r="P52">
        <v>1</v>
      </c>
      <c r="Q52" s="2">
        <v>1252</v>
      </c>
      <c r="R52" s="2">
        <v>2295</v>
      </c>
      <c r="S52" s="2">
        <v>1043</v>
      </c>
      <c r="T52" s="2">
        <f>P52*Q52</f>
        <v>1252</v>
      </c>
      <c r="U52" s="2">
        <f>P52*R52</f>
        <v>2295</v>
      </c>
    </row>
    <row r="53" spans="1:21">
      <c r="A53" s="3" t="s">
        <v>107</v>
      </c>
      <c r="B53" s="1">
        <v>44540</v>
      </c>
      <c r="C53">
        <v>10</v>
      </c>
      <c r="D53" t="s">
        <v>22</v>
      </c>
      <c r="E53">
        <v>2021</v>
      </c>
      <c r="F53">
        <v>38</v>
      </c>
      <c r="G53" s="6" t="s">
        <v>35</v>
      </c>
      <c r="H53" s="6" t="s">
        <v>46</v>
      </c>
      <c r="I53" s="6" t="s">
        <v>25</v>
      </c>
      <c r="J53" s="6" t="s">
        <v>26</v>
      </c>
      <c r="K53" s="6" t="s">
        <v>27</v>
      </c>
      <c r="L53" s="6" t="s">
        <v>28</v>
      </c>
      <c r="M53" s="7" t="s">
        <v>36</v>
      </c>
      <c r="N53" s="7" t="s">
        <v>40</v>
      </c>
      <c r="O53" s="4">
        <v>38</v>
      </c>
      <c r="P53">
        <v>1</v>
      </c>
      <c r="Q53" s="2">
        <v>1252</v>
      </c>
      <c r="R53" s="2">
        <v>2295</v>
      </c>
      <c r="S53" s="2">
        <v>1043</v>
      </c>
      <c r="T53" s="2">
        <f>P53*Q53</f>
        <v>1252</v>
      </c>
      <c r="U53" s="2">
        <f>P53*R53</f>
        <v>2295</v>
      </c>
    </row>
    <row r="54" spans="1:21">
      <c r="A54" s="3" t="s">
        <v>108</v>
      </c>
      <c r="B54" s="1">
        <v>44542</v>
      </c>
      <c r="C54">
        <v>12</v>
      </c>
      <c r="D54" t="s">
        <v>22</v>
      </c>
      <c r="E54">
        <v>2021</v>
      </c>
      <c r="F54">
        <v>35</v>
      </c>
      <c r="G54" s="6" t="s">
        <v>35</v>
      </c>
      <c r="H54" s="6" t="s">
        <v>24</v>
      </c>
      <c r="I54" s="6" t="s">
        <v>25</v>
      </c>
      <c r="J54" s="6" t="s">
        <v>39</v>
      </c>
      <c r="K54" s="6" t="s">
        <v>27</v>
      </c>
      <c r="L54" s="6" t="s">
        <v>28</v>
      </c>
      <c r="M54" s="7" t="s">
        <v>36</v>
      </c>
      <c r="N54" s="7" t="s">
        <v>30</v>
      </c>
      <c r="O54" s="4">
        <v>42</v>
      </c>
      <c r="P54">
        <v>1</v>
      </c>
      <c r="Q54" s="2">
        <v>1266</v>
      </c>
      <c r="R54" s="2">
        <v>2320</v>
      </c>
      <c r="S54" s="2">
        <v>1054</v>
      </c>
      <c r="T54" s="2">
        <f>P54*Q54</f>
        <v>1266</v>
      </c>
      <c r="U54" s="2">
        <f>P54*R54</f>
        <v>2320</v>
      </c>
    </row>
    <row r="55" spans="1:21">
      <c r="A55" s="3" t="s">
        <v>109</v>
      </c>
      <c r="B55" s="1">
        <v>44544</v>
      </c>
      <c r="C55">
        <v>14</v>
      </c>
      <c r="D55" t="s">
        <v>22</v>
      </c>
      <c r="E55">
        <v>2021</v>
      </c>
      <c r="F55">
        <v>32</v>
      </c>
      <c r="G55" s="6" t="s">
        <v>23</v>
      </c>
      <c r="H55" s="6" t="s">
        <v>24</v>
      </c>
      <c r="I55" s="6" t="s">
        <v>25</v>
      </c>
      <c r="J55" s="6" t="s">
        <v>39</v>
      </c>
      <c r="K55" s="6" t="s">
        <v>27</v>
      </c>
      <c r="L55" s="6" t="s">
        <v>28</v>
      </c>
      <c r="M55" s="7" t="s">
        <v>29</v>
      </c>
      <c r="N55" s="7" t="s">
        <v>30</v>
      </c>
      <c r="O55" s="4">
        <v>46</v>
      </c>
      <c r="P55">
        <v>1</v>
      </c>
      <c r="Q55" s="2">
        <v>420</v>
      </c>
      <c r="R55" s="2">
        <v>769</v>
      </c>
      <c r="S55" s="2">
        <v>349</v>
      </c>
      <c r="T55" s="2">
        <f>P55*Q55</f>
        <v>420</v>
      </c>
      <c r="U55" s="2">
        <f>P55*R55</f>
        <v>769</v>
      </c>
    </row>
    <row r="56" spans="1:21">
      <c r="A56" s="3" t="s">
        <v>110</v>
      </c>
      <c r="B56" s="1">
        <v>44547</v>
      </c>
      <c r="C56">
        <v>17</v>
      </c>
      <c r="D56" t="s">
        <v>22</v>
      </c>
      <c r="E56">
        <v>2021</v>
      </c>
      <c r="F56">
        <v>31</v>
      </c>
      <c r="G56" s="6" t="s">
        <v>23</v>
      </c>
      <c r="H56" s="6" t="s">
        <v>46</v>
      </c>
      <c r="I56" s="6" t="s">
        <v>25</v>
      </c>
      <c r="J56" s="6" t="s">
        <v>26</v>
      </c>
      <c r="K56" s="6" t="s">
        <v>27</v>
      </c>
      <c r="L56" s="6" t="s">
        <v>28</v>
      </c>
      <c r="M56" s="7" t="s">
        <v>29</v>
      </c>
      <c r="N56" s="7" t="s">
        <v>30</v>
      </c>
      <c r="O56" s="4">
        <v>42</v>
      </c>
      <c r="P56">
        <v>1</v>
      </c>
      <c r="Q56" s="2">
        <v>420</v>
      </c>
      <c r="R56" s="2">
        <v>769</v>
      </c>
      <c r="S56" s="2">
        <v>349</v>
      </c>
      <c r="T56" s="2">
        <f>P56*Q56</f>
        <v>420</v>
      </c>
      <c r="U56" s="2">
        <f>P56*R56</f>
        <v>769</v>
      </c>
    </row>
    <row r="57" spans="1:21">
      <c r="A57" s="3" t="s">
        <v>111</v>
      </c>
      <c r="B57" s="1">
        <v>44550</v>
      </c>
      <c r="C57">
        <v>20</v>
      </c>
      <c r="D57" t="s">
        <v>22</v>
      </c>
      <c r="E57">
        <v>2021</v>
      </c>
      <c r="F57">
        <v>35</v>
      </c>
      <c r="G57" s="6" t="s">
        <v>35</v>
      </c>
      <c r="H57" s="6" t="s">
        <v>24</v>
      </c>
      <c r="I57" s="6" t="s">
        <v>25</v>
      </c>
      <c r="J57" s="6" t="s">
        <v>42</v>
      </c>
      <c r="K57" s="6" t="s">
        <v>27</v>
      </c>
      <c r="L57" s="6" t="s">
        <v>28</v>
      </c>
      <c r="M57" s="7" t="s">
        <v>36</v>
      </c>
      <c r="N57" s="7" t="s">
        <v>30</v>
      </c>
      <c r="O57" s="4">
        <v>38</v>
      </c>
      <c r="P57">
        <v>1</v>
      </c>
      <c r="Q57" s="2">
        <v>1266</v>
      </c>
      <c r="R57" s="2">
        <v>2320</v>
      </c>
      <c r="S57" s="2">
        <v>1054</v>
      </c>
      <c r="T57" s="2">
        <f>P57*Q57</f>
        <v>1266</v>
      </c>
      <c r="U57" s="2">
        <f>P57*R57</f>
        <v>2320</v>
      </c>
    </row>
    <row r="58" spans="1:21">
      <c r="A58" s="3" t="s">
        <v>112</v>
      </c>
      <c r="B58" s="1">
        <v>44550</v>
      </c>
      <c r="C58">
        <v>20</v>
      </c>
      <c r="D58" t="s">
        <v>22</v>
      </c>
      <c r="E58">
        <v>2021</v>
      </c>
      <c r="F58">
        <v>35</v>
      </c>
      <c r="G58" s="6" t="s">
        <v>35</v>
      </c>
      <c r="H58" s="6" t="s">
        <v>46</v>
      </c>
      <c r="I58" s="6" t="s">
        <v>25</v>
      </c>
      <c r="J58" s="6" t="s">
        <v>39</v>
      </c>
      <c r="K58" s="6" t="s">
        <v>27</v>
      </c>
      <c r="L58" s="6" t="s">
        <v>28</v>
      </c>
      <c r="M58" s="7" t="s">
        <v>36</v>
      </c>
      <c r="N58" s="7" t="s">
        <v>30</v>
      </c>
      <c r="O58" s="4">
        <v>38</v>
      </c>
      <c r="P58">
        <v>1</v>
      </c>
      <c r="Q58" s="2">
        <v>1266</v>
      </c>
      <c r="R58" s="2">
        <v>2320</v>
      </c>
      <c r="S58" s="2">
        <v>1054</v>
      </c>
      <c r="T58" s="2">
        <f>P58*Q58</f>
        <v>1266</v>
      </c>
      <c r="U58" s="2">
        <f>P58*R58</f>
        <v>2320</v>
      </c>
    </row>
    <row r="59" spans="1:21">
      <c r="A59" s="3" t="s">
        <v>113</v>
      </c>
      <c r="B59" s="1">
        <v>44552</v>
      </c>
      <c r="C59">
        <v>22</v>
      </c>
      <c r="D59" t="s">
        <v>22</v>
      </c>
      <c r="E59">
        <v>2021</v>
      </c>
      <c r="F59">
        <v>19</v>
      </c>
      <c r="G59" s="6" t="s">
        <v>32</v>
      </c>
      <c r="H59" s="6" t="s">
        <v>24</v>
      </c>
      <c r="I59" s="6" t="s">
        <v>25</v>
      </c>
      <c r="J59" s="6" t="s">
        <v>26</v>
      </c>
      <c r="K59" s="6" t="s">
        <v>27</v>
      </c>
      <c r="L59" s="6" t="s">
        <v>28</v>
      </c>
      <c r="M59" s="7" t="s">
        <v>33</v>
      </c>
      <c r="N59" s="7" t="s">
        <v>30</v>
      </c>
      <c r="O59" s="4">
        <v>42</v>
      </c>
      <c r="P59">
        <v>1</v>
      </c>
      <c r="Q59" s="2">
        <v>308</v>
      </c>
      <c r="R59" s="2">
        <v>565</v>
      </c>
      <c r="S59" s="2">
        <v>257</v>
      </c>
      <c r="T59" s="2">
        <f>P59*Q59</f>
        <v>308</v>
      </c>
      <c r="U59" s="2">
        <f>P59*R59</f>
        <v>565</v>
      </c>
    </row>
    <row r="60" spans="1:21">
      <c r="A60" s="3" t="s">
        <v>114</v>
      </c>
      <c r="B60" s="1">
        <v>44536</v>
      </c>
      <c r="C60">
        <v>6</v>
      </c>
      <c r="D60" t="s">
        <v>22</v>
      </c>
      <c r="E60">
        <v>2021</v>
      </c>
      <c r="F60">
        <v>27</v>
      </c>
      <c r="G60" s="6" t="s">
        <v>23</v>
      </c>
      <c r="H60" s="6" t="s">
        <v>46</v>
      </c>
      <c r="I60" s="6" t="s">
        <v>49</v>
      </c>
      <c r="J60" s="6" t="s">
        <v>50</v>
      </c>
      <c r="K60" s="6" t="s">
        <v>27</v>
      </c>
      <c r="L60" s="6" t="s">
        <v>28</v>
      </c>
      <c r="M60" s="7" t="s">
        <v>36</v>
      </c>
      <c r="N60" s="7" t="s">
        <v>40</v>
      </c>
      <c r="O60" s="4">
        <v>46</v>
      </c>
      <c r="P60">
        <v>1</v>
      </c>
      <c r="Q60" s="2">
        <v>1252</v>
      </c>
      <c r="R60" s="2">
        <v>2295</v>
      </c>
      <c r="S60" s="2">
        <v>1043</v>
      </c>
      <c r="T60" s="2">
        <f>P60*Q60</f>
        <v>1252</v>
      </c>
      <c r="U60" s="2">
        <f>P60*R60</f>
        <v>2295</v>
      </c>
    </row>
    <row r="61" spans="1:21">
      <c r="A61" s="3" t="s">
        <v>115</v>
      </c>
      <c r="B61" s="1">
        <v>44541</v>
      </c>
      <c r="C61">
        <v>11</v>
      </c>
      <c r="D61" t="s">
        <v>22</v>
      </c>
      <c r="E61">
        <v>2021</v>
      </c>
      <c r="F61">
        <v>27</v>
      </c>
      <c r="G61" s="6" t="s">
        <v>23</v>
      </c>
      <c r="H61" s="6" t="s">
        <v>46</v>
      </c>
      <c r="I61" s="6" t="s">
        <v>49</v>
      </c>
      <c r="J61" s="6" t="s">
        <v>50</v>
      </c>
      <c r="K61" s="6" t="s">
        <v>27</v>
      </c>
      <c r="L61" s="6" t="s">
        <v>28</v>
      </c>
      <c r="M61" s="7" t="s">
        <v>36</v>
      </c>
      <c r="N61" s="7" t="s">
        <v>40</v>
      </c>
      <c r="O61" s="4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>
      <c r="A62" s="3" t="s">
        <v>116</v>
      </c>
      <c r="B62" s="1">
        <v>44552</v>
      </c>
      <c r="C62">
        <v>22</v>
      </c>
      <c r="D62" t="s">
        <v>22</v>
      </c>
      <c r="E62">
        <v>2021</v>
      </c>
      <c r="F62">
        <v>27</v>
      </c>
      <c r="G62" s="6" t="s">
        <v>23</v>
      </c>
      <c r="H62" s="6" t="s">
        <v>24</v>
      </c>
      <c r="I62" s="6" t="s">
        <v>49</v>
      </c>
      <c r="J62" s="6" t="s">
        <v>50</v>
      </c>
      <c r="K62" s="6" t="s">
        <v>27</v>
      </c>
      <c r="L62" s="6" t="s">
        <v>28</v>
      </c>
      <c r="M62" s="7" t="s">
        <v>36</v>
      </c>
      <c r="N62" s="7" t="s">
        <v>40</v>
      </c>
      <c r="O62" s="4">
        <v>46</v>
      </c>
      <c r="P62">
        <v>1</v>
      </c>
      <c r="Q62" s="2">
        <v>1252</v>
      </c>
      <c r="R62" s="2">
        <v>2295</v>
      </c>
      <c r="S62" s="2">
        <v>1043</v>
      </c>
      <c r="T62" s="2">
        <f>P62*Q62</f>
        <v>1252</v>
      </c>
      <c r="U62" s="2">
        <f>P62*R62</f>
        <v>2295</v>
      </c>
    </row>
    <row r="63" spans="1:21">
      <c r="A63" s="3" t="s">
        <v>117</v>
      </c>
      <c r="B63" s="1">
        <v>44553</v>
      </c>
      <c r="C63">
        <v>23</v>
      </c>
      <c r="D63" t="s">
        <v>22</v>
      </c>
      <c r="E63">
        <v>2021</v>
      </c>
      <c r="F63">
        <v>31</v>
      </c>
      <c r="G63" s="6" t="s">
        <v>23</v>
      </c>
      <c r="H63" s="6" t="s">
        <v>24</v>
      </c>
      <c r="I63" s="6" t="s">
        <v>49</v>
      </c>
      <c r="J63" s="6" t="s">
        <v>50</v>
      </c>
      <c r="K63" s="6" t="s">
        <v>27</v>
      </c>
      <c r="L63" s="6" t="s">
        <v>28</v>
      </c>
      <c r="M63" s="7" t="s">
        <v>36</v>
      </c>
      <c r="N63" s="7" t="s">
        <v>40</v>
      </c>
      <c r="O63" s="4">
        <v>42</v>
      </c>
      <c r="P63">
        <v>1</v>
      </c>
      <c r="Q63" s="2">
        <v>1252</v>
      </c>
      <c r="R63" s="2">
        <v>2295</v>
      </c>
      <c r="S63" s="2">
        <v>1043</v>
      </c>
      <c r="T63" s="2">
        <f>P63*Q63</f>
        <v>1252</v>
      </c>
      <c r="U63" s="2">
        <f>P63*R63</f>
        <v>2295</v>
      </c>
    </row>
    <row r="64" spans="1:21">
      <c r="A64" s="3" t="s">
        <v>118</v>
      </c>
      <c r="B64" s="1">
        <v>44546</v>
      </c>
      <c r="C64">
        <v>16</v>
      </c>
      <c r="D64" t="s">
        <v>22</v>
      </c>
      <c r="E64">
        <v>2021</v>
      </c>
      <c r="F64">
        <v>27</v>
      </c>
      <c r="G64" s="6" t="s">
        <v>23</v>
      </c>
      <c r="H64" s="6" t="s">
        <v>24</v>
      </c>
      <c r="I64" s="6" t="s">
        <v>52</v>
      </c>
      <c r="J64" s="6" t="s">
        <v>119</v>
      </c>
      <c r="K64" s="6" t="s">
        <v>27</v>
      </c>
      <c r="L64" s="6" t="s">
        <v>28</v>
      </c>
      <c r="M64" s="7" t="s">
        <v>36</v>
      </c>
      <c r="N64" s="7" t="s">
        <v>30</v>
      </c>
      <c r="O64" s="4">
        <v>46</v>
      </c>
      <c r="P64">
        <v>1</v>
      </c>
      <c r="Q64" s="2">
        <v>1266</v>
      </c>
      <c r="R64" s="2">
        <v>2320</v>
      </c>
      <c r="S64" s="2">
        <v>1054</v>
      </c>
      <c r="T64" s="2">
        <f>P64*Q64</f>
        <v>1266</v>
      </c>
      <c r="U64" s="2">
        <f>P64*R64</f>
        <v>2320</v>
      </c>
    </row>
    <row r="65" spans="1:21">
      <c r="A65" s="3" t="s">
        <v>120</v>
      </c>
      <c r="B65" s="1">
        <v>44548</v>
      </c>
      <c r="C65">
        <v>18</v>
      </c>
      <c r="D65" t="s">
        <v>22</v>
      </c>
      <c r="E65">
        <v>2021</v>
      </c>
      <c r="F65">
        <v>26</v>
      </c>
      <c r="G65" s="6" t="s">
        <v>23</v>
      </c>
      <c r="H65" s="6" t="s">
        <v>46</v>
      </c>
      <c r="I65" s="6" t="s">
        <v>52</v>
      </c>
      <c r="J65" s="6" t="s">
        <v>55</v>
      </c>
      <c r="K65" s="6" t="s">
        <v>27</v>
      </c>
      <c r="L65" s="6" t="s">
        <v>28</v>
      </c>
      <c r="M65" s="7" t="s">
        <v>36</v>
      </c>
      <c r="N65" s="7" t="s">
        <v>40</v>
      </c>
      <c r="O65" s="4">
        <v>46</v>
      </c>
      <c r="P65">
        <v>1</v>
      </c>
      <c r="Q65" s="2">
        <v>1252</v>
      </c>
      <c r="R65" s="2">
        <v>2295</v>
      </c>
      <c r="S65" s="2">
        <v>1043</v>
      </c>
      <c r="T65" s="2">
        <f>P65*Q65</f>
        <v>1252</v>
      </c>
      <c r="U65" s="2">
        <f>P65*R65</f>
        <v>2295</v>
      </c>
    </row>
    <row r="66" spans="1:21">
      <c r="A66" s="3" t="s">
        <v>121</v>
      </c>
      <c r="B66" s="1">
        <v>44552</v>
      </c>
      <c r="C66">
        <v>22</v>
      </c>
      <c r="D66" t="s">
        <v>22</v>
      </c>
      <c r="E66">
        <v>2021</v>
      </c>
      <c r="F66">
        <v>25</v>
      </c>
      <c r="G66" s="6" t="s">
        <v>23</v>
      </c>
      <c r="H66" s="6" t="s">
        <v>46</v>
      </c>
      <c r="I66" s="6" t="s">
        <v>52</v>
      </c>
      <c r="J66" s="6" t="s">
        <v>55</v>
      </c>
      <c r="K66" s="6" t="s">
        <v>27</v>
      </c>
      <c r="L66" s="6" t="s">
        <v>28</v>
      </c>
      <c r="M66" s="7" t="s">
        <v>36</v>
      </c>
      <c r="N66" s="7" t="s">
        <v>40</v>
      </c>
      <c r="O66" s="4">
        <v>38</v>
      </c>
      <c r="P66">
        <v>1</v>
      </c>
      <c r="Q66" s="2">
        <v>1252</v>
      </c>
      <c r="R66" s="2">
        <v>2295</v>
      </c>
      <c r="S66" s="2">
        <v>1043</v>
      </c>
      <c r="T66" s="2">
        <f>P66*Q66</f>
        <v>1252</v>
      </c>
      <c r="U66" s="2">
        <f>P66*R66</f>
        <v>2295</v>
      </c>
    </row>
    <row r="67" spans="1:21">
      <c r="A67" s="3" t="s">
        <v>122</v>
      </c>
      <c r="B67" s="1">
        <v>44539</v>
      </c>
      <c r="C67">
        <v>9</v>
      </c>
      <c r="D67" t="s">
        <v>22</v>
      </c>
      <c r="E67">
        <v>2021</v>
      </c>
      <c r="F67">
        <v>41</v>
      </c>
      <c r="G67" s="6" t="s">
        <v>35</v>
      </c>
      <c r="H67" s="6" t="s">
        <v>24</v>
      </c>
      <c r="I67" s="6" t="s">
        <v>57</v>
      </c>
      <c r="J67" s="6" t="s">
        <v>123</v>
      </c>
      <c r="K67" s="6" t="s">
        <v>27</v>
      </c>
      <c r="L67" s="6" t="s">
        <v>28</v>
      </c>
      <c r="M67" s="7" t="s">
        <v>36</v>
      </c>
      <c r="N67" s="7" t="s">
        <v>30</v>
      </c>
      <c r="O67" s="4">
        <v>42</v>
      </c>
      <c r="P67">
        <v>1</v>
      </c>
      <c r="Q67" s="2">
        <v>1266</v>
      </c>
      <c r="R67" s="2">
        <v>2320</v>
      </c>
      <c r="S67" s="2">
        <v>1054</v>
      </c>
      <c r="T67" s="2">
        <f>P67*Q67</f>
        <v>1266</v>
      </c>
      <c r="U67" s="2">
        <f>P67*R67</f>
        <v>2320</v>
      </c>
    </row>
    <row r="68" spans="1:21">
      <c r="A68" s="3" t="s">
        <v>124</v>
      </c>
      <c r="B68" s="1">
        <v>44547</v>
      </c>
      <c r="C68">
        <v>17</v>
      </c>
      <c r="D68" t="s">
        <v>22</v>
      </c>
      <c r="E68">
        <v>2021</v>
      </c>
      <c r="F68">
        <v>42</v>
      </c>
      <c r="G68" s="6" t="s">
        <v>35</v>
      </c>
      <c r="H68" s="6" t="s">
        <v>24</v>
      </c>
      <c r="I68" s="6" t="s">
        <v>57</v>
      </c>
      <c r="J68" s="6" t="s">
        <v>58</v>
      </c>
      <c r="K68" s="6" t="s">
        <v>27</v>
      </c>
      <c r="L68" s="6" t="s">
        <v>28</v>
      </c>
      <c r="M68" s="7" t="s">
        <v>36</v>
      </c>
      <c r="N68" s="7" t="s">
        <v>30</v>
      </c>
      <c r="O68" s="4">
        <v>46</v>
      </c>
      <c r="P68">
        <v>1</v>
      </c>
      <c r="Q68" s="2">
        <v>1266</v>
      </c>
      <c r="R68" s="2">
        <v>2320</v>
      </c>
      <c r="S68" s="2">
        <v>1054</v>
      </c>
      <c r="T68" s="2">
        <f>P68*Q68</f>
        <v>1266</v>
      </c>
      <c r="U68" s="2">
        <f>P68*R68</f>
        <v>2320</v>
      </c>
    </row>
    <row r="69" spans="1:21">
      <c r="A69" s="3" t="s">
        <v>125</v>
      </c>
      <c r="B69" s="1">
        <v>44552</v>
      </c>
      <c r="C69">
        <v>22</v>
      </c>
      <c r="D69" t="s">
        <v>22</v>
      </c>
      <c r="E69">
        <v>2021</v>
      </c>
      <c r="F69">
        <v>41</v>
      </c>
      <c r="G69" s="6" t="s">
        <v>35</v>
      </c>
      <c r="H69" s="6" t="s">
        <v>46</v>
      </c>
      <c r="I69" s="6" t="s">
        <v>57</v>
      </c>
      <c r="J69" s="6" t="s">
        <v>95</v>
      </c>
      <c r="K69" s="6" t="s">
        <v>27</v>
      </c>
      <c r="L69" s="6" t="s">
        <v>28</v>
      </c>
      <c r="M69" s="7" t="s">
        <v>36</v>
      </c>
      <c r="N69" s="7" t="s">
        <v>30</v>
      </c>
      <c r="O69" s="4">
        <v>38</v>
      </c>
      <c r="P69">
        <v>1</v>
      </c>
      <c r="Q69" s="2">
        <v>1266</v>
      </c>
      <c r="R69" s="2">
        <v>2320</v>
      </c>
      <c r="S69" s="2">
        <v>1054</v>
      </c>
      <c r="T69" s="2">
        <f>P69*Q69</f>
        <v>1266</v>
      </c>
      <c r="U69" s="2">
        <f>P69*R69</f>
        <v>2320</v>
      </c>
    </row>
    <row r="70" spans="1:21">
      <c r="A70" s="3" t="s">
        <v>126</v>
      </c>
      <c r="B70" s="1">
        <v>44531</v>
      </c>
      <c r="C70">
        <v>1</v>
      </c>
      <c r="D70" t="s">
        <v>22</v>
      </c>
      <c r="E70">
        <v>2021</v>
      </c>
      <c r="F70">
        <v>44</v>
      </c>
      <c r="G70" s="6" t="s">
        <v>35</v>
      </c>
      <c r="H70" s="6" t="s">
        <v>46</v>
      </c>
      <c r="I70" s="6" t="s">
        <v>79</v>
      </c>
      <c r="J70" s="6" t="s">
        <v>80</v>
      </c>
      <c r="K70" s="6" t="s">
        <v>27</v>
      </c>
      <c r="L70" s="6" t="s">
        <v>28</v>
      </c>
      <c r="M70" s="7" t="s">
        <v>36</v>
      </c>
      <c r="N70" s="7" t="s">
        <v>30</v>
      </c>
      <c r="O70" s="4">
        <v>42</v>
      </c>
      <c r="P70">
        <v>1</v>
      </c>
      <c r="Q70" s="2">
        <v>1266</v>
      </c>
      <c r="R70" s="2">
        <v>2320</v>
      </c>
      <c r="S70" s="2">
        <v>1054</v>
      </c>
      <c r="T70" s="2">
        <f>P70*Q70</f>
        <v>1266</v>
      </c>
      <c r="U70" s="2">
        <f>P70*R70</f>
        <v>2320</v>
      </c>
    </row>
    <row r="71" spans="1:21">
      <c r="A71" s="3" t="s">
        <v>127</v>
      </c>
      <c r="B71" s="1">
        <v>44533</v>
      </c>
      <c r="C71">
        <v>3</v>
      </c>
      <c r="D71" t="s">
        <v>22</v>
      </c>
      <c r="E71">
        <v>2021</v>
      </c>
      <c r="F71">
        <v>24</v>
      </c>
      <c r="G71" s="6" t="s">
        <v>32</v>
      </c>
      <c r="H71" s="6" t="s">
        <v>24</v>
      </c>
      <c r="I71" s="6" t="s">
        <v>79</v>
      </c>
      <c r="J71" s="6" t="s">
        <v>80</v>
      </c>
      <c r="K71" s="6" t="s">
        <v>27</v>
      </c>
      <c r="L71" s="6" t="s">
        <v>28</v>
      </c>
      <c r="M71" s="7" t="s">
        <v>36</v>
      </c>
      <c r="N71" s="7" t="s">
        <v>40</v>
      </c>
      <c r="O71" s="4">
        <v>38</v>
      </c>
      <c r="P71">
        <v>1</v>
      </c>
      <c r="Q71" s="2">
        <v>1252</v>
      </c>
      <c r="R71" s="2">
        <v>2295</v>
      </c>
      <c r="S71" s="2">
        <v>1043</v>
      </c>
      <c r="T71" s="2">
        <f>P71*Q71</f>
        <v>1252</v>
      </c>
      <c r="U71" s="2">
        <f>P71*R71</f>
        <v>2295</v>
      </c>
    </row>
    <row r="72" spans="1:21">
      <c r="A72" s="3" t="s">
        <v>128</v>
      </c>
      <c r="B72" s="1">
        <v>44536</v>
      </c>
      <c r="C72">
        <v>6</v>
      </c>
      <c r="D72" t="s">
        <v>22</v>
      </c>
      <c r="E72">
        <v>2021</v>
      </c>
      <c r="F72">
        <v>47</v>
      </c>
      <c r="G72" s="6" t="s">
        <v>35</v>
      </c>
      <c r="H72" s="6" t="s">
        <v>46</v>
      </c>
      <c r="I72" s="6" t="s">
        <v>79</v>
      </c>
      <c r="J72" s="6" t="s">
        <v>80</v>
      </c>
      <c r="K72" s="6" t="s">
        <v>27</v>
      </c>
      <c r="L72" s="6" t="s">
        <v>28</v>
      </c>
      <c r="M72" s="7" t="s">
        <v>36</v>
      </c>
      <c r="N72" s="7" t="s">
        <v>30</v>
      </c>
      <c r="O72" s="4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>
      <c r="A73" s="3" t="s">
        <v>129</v>
      </c>
      <c r="B73" s="1">
        <v>44540</v>
      </c>
      <c r="C73">
        <v>10</v>
      </c>
      <c r="D73" t="s">
        <v>22</v>
      </c>
      <c r="E73">
        <v>2021</v>
      </c>
      <c r="F73">
        <v>26</v>
      </c>
      <c r="G73" s="6" t="s">
        <v>23</v>
      </c>
      <c r="H73" s="6" t="s">
        <v>46</v>
      </c>
      <c r="I73" s="6" t="s">
        <v>79</v>
      </c>
      <c r="J73" s="6" t="s">
        <v>80</v>
      </c>
      <c r="K73" s="6" t="s">
        <v>27</v>
      </c>
      <c r="L73" s="6" t="s">
        <v>28</v>
      </c>
      <c r="M73" s="7" t="s">
        <v>36</v>
      </c>
      <c r="N73" s="7" t="s">
        <v>40</v>
      </c>
      <c r="O73" s="4">
        <v>38</v>
      </c>
      <c r="P73">
        <v>1</v>
      </c>
      <c r="Q73" s="2">
        <v>1252</v>
      </c>
      <c r="R73" s="2">
        <v>2295</v>
      </c>
      <c r="S73" s="2">
        <v>1043</v>
      </c>
      <c r="T73" s="2">
        <f>P73*Q73</f>
        <v>1252</v>
      </c>
      <c r="U73" s="2">
        <f>P73*R73</f>
        <v>2295</v>
      </c>
    </row>
    <row r="74" spans="1:21">
      <c r="A74" s="3" t="s">
        <v>130</v>
      </c>
      <c r="B74" s="1">
        <v>44543</v>
      </c>
      <c r="C74">
        <v>13</v>
      </c>
      <c r="D74" t="s">
        <v>22</v>
      </c>
      <c r="E74">
        <v>2021</v>
      </c>
      <c r="F74">
        <v>44</v>
      </c>
      <c r="G74" s="6" t="s">
        <v>35</v>
      </c>
      <c r="H74" s="6" t="s">
        <v>24</v>
      </c>
      <c r="I74" s="6" t="s">
        <v>79</v>
      </c>
      <c r="J74" s="6" t="s">
        <v>80</v>
      </c>
      <c r="K74" s="6" t="s">
        <v>27</v>
      </c>
      <c r="L74" s="6" t="s">
        <v>28</v>
      </c>
      <c r="M74" s="7" t="s">
        <v>36</v>
      </c>
      <c r="N74" s="7" t="s">
        <v>40</v>
      </c>
      <c r="O74" s="4">
        <v>38</v>
      </c>
      <c r="P74">
        <v>1</v>
      </c>
      <c r="Q74" s="2">
        <v>1252</v>
      </c>
      <c r="R74" s="2">
        <v>2295</v>
      </c>
      <c r="S74" s="2">
        <v>1043</v>
      </c>
      <c r="T74" s="2">
        <f>P74*Q74</f>
        <v>1252</v>
      </c>
      <c r="U74" s="2">
        <f>P74*R74</f>
        <v>2295</v>
      </c>
    </row>
    <row r="75" spans="1:21">
      <c r="A75" s="3" t="s">
        <v>131</v>
      </c>
      <c r="B75" s="1">
        <v>44543</v>
      </c>
      <c r="C75">
        <v>13</v>
      </c>
      <c r="D75" t="s">
        <v>22</v>
      </c>
      <c r="E75">
        <v>2021</v>
      </c>
      <c r="F75">
        <v>49</v>
      </c>
      <c r="G75" s="6" t="s">
        <v>35</v>
      </c>
      <c r="H75" s="6" t="s">
        <v>46</v>
      </c>
      <c r="I75" s="6" t="s">
        <v>79</v>
      </c>
      <c r="J75" s="6" t="s">
        <v>80</v>
      </c>
      <c r="K75" s="6" t="s">
        <v>27</v>
      </c>
      <c r="L75" s="6" t="s">
        <v>28</v>
      </c>
      <c r="M75" s="7" t="s">
        <v>36</v>
      </c>
      <c r="N75" s="7" t="s">
        <v>40</v>
      </c>
      <c r="O75" s="4">
        <v>38</v>
      </c>
      <c r="P75">
        <v>1</v>
      </c>
      <c r="Q75" s="2">
        <v>1252</v>
      </c>
      <c r="R75" s="2">
        <v>2295</v>
      </c>
      <c r="S75" s="2">
        <v>1043</v>
      </c>
      <c r="T75" s="2">
        <f>P75*Q75</f>
        <v>1252</v>
      </c>
      <c r="U75" s="2">
        <f>P75*R75</f>
        <v>2295</v>
      </c>
    </row>
    <row r="76" spans="1:21">
      <c r="A76" s="3" t="s">
        <v>132</v>
      </c>
      <c r="B76" s="1">
        <v>44533</v>
      </c>
      <c r="C76">
        <v>3</v>
      </c>
      <c r="D76" t="s">
        <v>22</v>
      </c>
      <c r="E76">
        <v>2021</v>
      </c>
      <c r="F76">
        <v>37</v>
      </c>
      <c r="G76" s="6" t="s">
        <v>35</v>
      </c>
      <c r="H76" s="6" t="s">
        <v>46</v>
      </c>
      <c r="I76" s="6" t="s">
        <v>61</v>
      </c>
      <c r="J76" s="6" t="s">
        <v>84</v>
      </c>
      <c r="K76" s="6" t="s">
        <v>27</v>
      </c>
      <c r="L76" s="6" t="s">
        <v>28</v>
      </c>
      <c r="M76" s="7" t="s">
        <v>36</v>
      </c>
      <c r="N76" s="7" t="s">
        <v>40</v>
      </c>
      <c r="O76" s="4">
        <v>46</v>
      </c>
      <c r="P76">
        <v>1</v>
      </c>
      <c r="Q76" s="2">
        <v>1252</v>
      </c>
      <c r="R76" s="2">
        <v>2295</v>
      </c>
      <c r="S76" s="2">
        <v>1043</v>
      </c>
      <c r="T76" s="2">
        <f>P76*Q76</f>
        <v>1252</v>
      </c>
      <c r="U76" s="2">
        <f>P76*R76</f>
        <v>2295</v>
      </c>
    </row>
    <row r="77" spans="1:21">
      <c r="A77" s="3" t="s">
        <v>133</v>
      </c>
      <c r="B77" s="1">
        <v>44535</v>
      </c>
      <c r="C77">
        <v>5</v>
      </c>
      <c r="D77" t="s">
        <v>22</v>
      </c>
      <c r="E77">
        <v>2021</v>
      </c>
      <c r="F77">
        <v>37</v>
      </c>
      <c r="G77" s="6" t="s">
        <v>35</v>
      </c>
      <c r="H77" s="6" t="s">
        <v>24</v>
      </c>
      <c r="I77" s="6" t="s">
        <v>61</v>
      </c>
      <c r="J77" s="6" t="s">
        <v>62</v>
      </c>
      <c r="K77" s="6" t="s">
        <v>27</v>
      </c>
      <c r="L77" s="6" t="s">
        <v>28</v>
      </c>
      <c r="M77" s="7" t="s">
        <v>36</v>
      </c>
      <c r="N77" s="7" t="s">
        <v>40</v>
      </c>
      <c r="O77" s="4">
        <v>46</v>
      </c>
      <c r="P77">
        <v>1</v>
      </c>
      <c r="Q77" s="2">
        <v>1252</v>
      </c>
      <c r="R77" s="2">
        <v>2295</v>
      </c>
      <c r="S77" s="2">
        <v>1043</v>
      </c>
      <c r="T77" s="2">
        <f>P77*Q77</f>
        <v>1252</v>
      </c>
      <c r="U77" s="2">
        <f>P77*R77</f>
        <v>2295</v>
      </c>
    </row>
    <row r="78" spans="1:21">
      <c r="A78" s="3" t="s">
        <v>134</v>
      </c>
      <c r="B78" s="1">
        <v>44540</v>
      </c>
      <c r="C78">
        <v>10</v>
      </c>
      <c r="D78" t="s">
        <v>22</v>
      </c>
      <c r="E78">
        <v>2021</v>
      </c>
      <c r="F78">
        <v>34</v>
      </c>
      <c r="G78" s="6" t="s">
        <v>23</v>
      </c>
      <c r="H78" s="6" t="s">
        <v>46</v>
      </c>
      <c r="I78" s="6" t="s">
        <v>61</v>
      </c>
      <c r="J78" s="6" t="s">
        <v>62</v>
      </c>
      <c r="K78" s="6" t="s">
        <v>27</v>
      </c>
      <c r="L78" s="6" t="s">
        <v>28</v>
      </c>
      <c r="M78" s="7" t="s">
        <v>33</v>
      </c>
      <c r="N78" s="7" t="s">
        <v>40</v>
      </c>
      <c r="O78" s="4">
        <v>40</v>
      </c>
      <c r="P78">
        <v>1</v>
      </c>
      <c r="Q78" s="2">
        <v>295</v>
      </c>
      <c r="R78" s="2">
        <v>540</v>
      </c>
      <c r="S78" s="2">
        <v>245</v>
      </c>
      <c r="T78" s="2">
        <f>P78*Q78</f>
        <v>295</v>
      </c>
      <c r="U78" s="2">
        <f>P78*R78</f>
        <v>540</v>
      </c>
    </row>
    <row r="79" spans="1:21">
      <c r="A79" s="3" t="s">
        <v>135</v>
      </c>
      <c r="B79" s="1">
        <v>44540</v>
      </c>
      <c r="C79">
        <v>10</v>
      </c>
      <c r="D79" t="s">
        <v>22</v>
      </c>
      <c r="E79">
        <v>2021</v>
      </c>
      <c r="F79">
        <v>34</v>
      </c>
      <c r="G79" s="6" t="s">
        <v>23</v>
      </c>
      <c r="H79" s="6" t="s">
        <v>24</v>
      </c>
      <c r="I79" s="6" t="s">
        <v>61</v>
      </c>
      <c r="J79" s="6" t="s">
        <v>84</v>
      </c>
      <c r="K79" s="6" t="s">
        <v>27</v>
      </c>
      <c r="L79" s="6" t="s">
        <v>28</v>
      </c>
      <c r="M79" s="7" t="s">
        <v>44</v>
      </c>
      <c r="N79" s="7" t="s">
        <v>30</v>
      </c>
      <c r="O79" s="4">
        <v>44</v>
      </c>
      <c r="P79">
        <v>1</v>
      </c>
      <c r="Q79" s="2">
        <v>1912</v>
      </c>
      <c r="R79" s="2">
        <v>3400</v>
      </c>
      <c r="S79" s="2">
        <v>1488</v>
      </c>
      <c r="T79" s="2">
        <f>P79*Q79</f>
        <v>1912</v>
      </c>
      <c r="U79" s="2">
        <f>P79*R79</f>
        <v>3400</v>
      </c>
    </row>
    <row r="80" spans="1:21">
      <c r="A80" s="3" t="s">
        <v>136</v>
      </c>
      <c r="B80" s="1">
        <v>44541</v>
      </c>
      <c r="C80">
        <v>11</v>
      </c>
      <c r="D80" t="s">
        <v>22</v>
      </c>
      <c r="E80">
        <v>2021</v>
      </c>
      <c r="F80">
        <v>37</v>
      </c>
      <c r="G80" s="6" t="s">
        <v>35</v>
      </c>
      <c r="H80" s="6" t="s">
        <v>46</v>
      </c>
      <c r="I80" s="6" t="s">
        <v>61</v>
      </c>
      <c r="J80" s="6" t="s">
        <v>62</v>
      </c>
      <c r="K80" s="6" t="s">
        <v>27</v>
      </c>
      <c r="L80" s="6" t="s">
        <v>28</v>
      </c>
      <c r="M80" s="7" t="s">
        <v>29</v>
      </c>
      <c r="N80" s="7" t="s">
        <v>30</v>
      </c>
      <c r="O80" s="4">
        <v>46</v>
      </c>
      <c r="P80">
        <v>1</v>
      </c>
      <c r="Q80" s="2">
        <v>420</v>
      </c>
      <c r="R80" s="2">
        <v>769</v>
      </c>
      <c r="S80" s="2">
        <v>349</v>
      </c>
      <c r="T80" s="2">
        <f>P80*Q80</f>
        <v>420</v>
      </c>
      <c r="U80" s="2">
        <f>P80*R80</f>
        <v>769</v>
      </c>
    </row>
    <row r="81" spans="1:21">
      <c r="A81" s="3" t="s">
        <v>137</v>
      </c>
      <c r="B81" s="1">
        <v>44541</v>
      </c>
      <c r="C81">
        <v>11</v>
      </c>
      <c r="D81" t="s">
        <v>22</v>
      </c>
      <c r="E81">
        <v>2021</v>
      </c>
      <c r="F81">
        <v>38</v>
      </c>
      <c r="G81" s="6" t="s">
        <v>35</v>
      </c>
      <c r="H81" s="6" t="s">
        <v>24</v>
      </c>
      <c r="I81" s="6" t="s">
        <v>61</v>
      </c>
      <c r="J81" s="6" t="s">
        <v>62</v>
      </c>
      <c r="K81" s="6" t="s">
        <v>27</v>
      </c>
      <c r="L81" s="6" t="s">
        <v>28</v>
      </c>
      <c r="M81" s="7" t="s">
        <v>36</v>
      </c>
      <c r="N81" s="7" t="s">
        <v>30</v>
      </c>
      <c r="O81" s="4">
        <v>38</v>
      </c>
      <c r="P81">
        <v>1</v>
      </c>
      <c r="Q81" s="2">
        <v>1266</v>
      </c>
      <c r="R81" s="2">
        <v>2320</v>
      </c>
      <c r="S81" s="2">
        <v>1054</v>
      </c>
      <c r="T81" s="2">
        <f>P81*Q81</f>
        <v>1266</v>
      </c>
      <c r="U81" s="2">
        <f>P81*R81</f>
        <v>2320</v>
      </c>
    </row>
    <row r="82" spans="1:21">
      <c r="A82" s="3" t="s">
        <v>138</v>
      </c>
      <c r="B82" s="1">
        <v>44542</v>
      </c>
      <c r="C82">
        <v>12</v>
      </c>
      <c r="D82" t="s">
        <v>22</v>
      </c>
      <c r="E82">
        <v>2021</v>
      </c>
      <c r="F82">
        <v>38</v>
      </c>
      <c r="G82" s="6" t="s">
        <v>35</v>
      </c>
      <c r="H82" s="6" t="s">
        <v>24</v>
      </c>
      <c r="I82" s="6" t="s">
        <v>61</v>
      </c>
      <c r="J82" s="6" t="s">
        <v>84</v>
      </c>
      <c r="K82" s="6" t="s">
        <v>27</v>
      </c>
      <c r="L82" s="6" t="s">
        <v>28</v>
      </c>
      <c r="M82" s="7" t="s">
        <v>36</v>
      </c>
      <c r="N82" s="7" t="s">
        <v>30</v>
      </c>
      <c r="O82" s="4">
        <v>42</v>
      </c>
      <c r="P82">
        <v>1</v>
      </c>
      <c r="Q82" s="2">
        <v>1266</v>
      </c>
      <c r="R82" s="2">
        <v>2320</v>
      </c>
      <c r="S82" s="2">
        <v>1054</v>
      </c>
      <c r="T82" s="2">
        <f>P82*Q82</f>
        <v>1266</v>
      </c>
      <c r="U82" s="2">
        <f>P82*R82</f>
        <v>2320</v>
      </c>
    </row>
    <row r="83" spans="1:21">
      <c r="A83" s="3" t="s">
        <v>139</v>
      </c>
      <c r="B83" s="1">
        <v>44543</v>
      </c>
      <c r="C83">
        <v>13</v>
      </c>
      <c r="D83" t="s">
        <v>22</v>
      </c>
      <c r="E83">
        <v>2021</v>
      </c>
      <c r="F83">
        <v>40</v>
      </c>
      <c r="G83" s="6" t="s">
        <v>35</v>
      </c>
      <c r="H83" s="6" t="s">
        <v>24</v>
      </c>
      <c r="I83" s="6" t="s">
        <v>61</v>
      </c>
      <c r="J83" s="6" t="s">
        <v>62</v>
      </c>
      <c r="K83" s="6" t="s">
        <v>27</v>
      </c>
      <c r="L83" s="6" t="s">
        <v>28</v>
      </c>
      <c r="M83" s="7" t="s">
        <v>33</v>
      </c>
      <c r="N83" s="7" t="s">
        <v>30</v>
      </c>
      <c r="O83" s="4">
        <v>40</v>
      </c>
      <c r="P83">
        <v>1</v>
      </c>
      <c r="Q83" s="2">
        <v>308</v>
      </c>
      <c r="R83" s="2">
        <v>565</v>
      </c>
      <c r="S83" s="2">
        <v>257</v>
      </c>
      <c r="T83" s="2">
        <f>P83*Q83</f>
        <v>308</v>
      </c>
      <c r="U83" s="2">
        <f>P83*R83</f>
        <v>565</v>
      </c>
    </row>
    <row r="84" spans="1:21">
      <c r="A84" s="3" t="s">
        <v>140</v>
      </c>
      <c r="B84" s="1">
        <v>44544</v>
      </c>
      <c r="C84">
        <v>14</v>
      </c>
      <c r="D84" t="s">
        <v>22</v>
      </c>
      <c r="E84">
        <v>2021</v>
      </c>
      <c r="F84">
        <v>32</v>
      </c>
      <c r="G84" s="6" t="s">
        <v>23</v>
      </c>
      <c r="H84" s="6" t="s">
        <v>46</v>
      </c>
      <c r="I84" s="6" t="s">
        <v>61</v>
      </c>
      <c r="J84" s="6" t="s">
        <v>62</v>
      </c>
      <c r="K84" s="6" t="s">
        <v>27</v>
      </c>
      <c r="L84" s="6" t="s">
        <v>28</v>
      </c>
      <c r="M84" s="7" t="s">
        <v>36</v>
      </c>
      <c r="N84" s="7" t="s">
        <v>40</v>
      </c>
      <c r="O84" s="4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>
      <c r="A85" s="3" t="s">
        <v>141</v>
      </c>
      <c r="B85" s="1">
        <v>44545</v>
      </c>
      <c r="C85">
        <v>15</v>
      </c>
      <c r="D85" t="s">
        <v>22</v>
      </c>
      <c r="E85">
        <v>2021</v>
      </c>
      <c r="F85">
        <v>29</v>
      </c>
      <c r="G85" s="6" t="s">
        <v>23</v>
      </c>
      <c r="H85" s="6" t="s">
        <v>24</v>
      </c>
      <c r="I85" s="6" t="s">
        <v>61</v>
      </c>
      <c r="J85" s="6" t="s">
        <v>62</v>
      </c>
      <c r="K85" s="6" t="s">
        <v>27</v>
      </c>
      <c r="L85" s="6" t="s">
        <v>28</v>
      </c>
      <c r="M85" s="7" t="s">
        <v>36</v>
      </c>
      <c r="N85" s="7" t="s">
        <v>30</v>
      </c>
      <c r="O85" s="4">
        <v>42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>
      <c r="A86" s="3" t="s">
        <v>142</v>
      </c>
      <c r="B86" s="1">
        <v>44548</v>
      </c>
      <c r="C86">
        <v>18</v>
      </c>
      <c r="D86" t="s">
        <v>22</v>
      </c>
      <c r="E86">
        <v>2021</v>
      </c>
      <c r="F86">
        <v>36</v>
      </c>
      <c r="G86" s="6" t="s">
        <v>35</v>
      </c>
      <c r="H86" s="6" t="s">
        <v>46</v>
      </c>
      <c r="I86" s="6" t="s">
        <v>61</v>
      </c>
      <c r="J86" s="6" t="s">
        <v>84</v>
      </c>
      <c r="K86" s="6" t="s">
        <v>27</v>
      </c>
      <c r="L86" s="6" t="s">
        <v>28</v>
      </c>
      <c r="M86" s="7" t="s">
        <v>36</v>
      </c>
      <c r="N86" s="7" t="s">
        <v>30</v>
      </c>
      <c r="O86" s="4">
        <v>38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>
      <c r="A87" s="3" t="s">
        <v>143</v>
      </c>
      <c r="B87" s="1">
        <v>44549</v>
      </c>
      <c r="C87">
        <v>19</v>
      </c>
      <c r="D87" t="s">
        <v>22</v>
      </c>
      <c r="E87">
        <v>2021</v>
      </c>
      <c r="F87">
        <v>39</v>
      </c>
      <c r="G87" s="6" t="s">
        <v>35</v>
      </c>
      <c r="H87" s="6" t="s">
        <v>24</v>
      </c>
      <c r="I87" s="6" t="s">
        <v>61</v>
      </c>
      <c r="J87" s="6" t="s">
        <v>84</v>
      </c>
      <c r="K87" s="6" t="s">
        <v>27</v>
      </c>
      <c r="L87" s="6" t="s">
        <v>28</v>
      </c>
      <c r="M87" s="7" t="s">
        <v>36</v>
      </c>
      <c r="N87" s="7" t="s">
        <v>30</v>
      </c>
      <c r="O87" s="4">
        <v>38</v>
      </c>
      <c r="P87">
        <v>1</v>
      </c>
      <c r="Q87" s="2">
        <v>1266</v>
      </c>
      <c r="R87" s="2">
        <v>2320</v>
      </c>
      <c r="S87" s="2">
        <v>1054</v>
      </c>
      <c r="T87" s="2">
        <f>P87*Q87</f>
        <v>1266</v>
      </c>
      <c r="U87" s="2">
        <f>P87*R87</f>
        <v>2320</v>
      </c>
    </row>
    <row r="88" spans="1:21">
      <c r="A88" s="3" t="s">
        <v>144</v>
      </c>
      <c r="B88" s="1">
        <v>44553</v>
      </c>
      <c r="C88">
        <v>23</v>
      </c>
      <c r="D88" t="s">
        <v>22</v>
      </c>
      <c r="E88">
        <v>2021</v>
      </c>
      <c r="F88">
        <v>30</v>
      </c>
      <c r="G88" s="6" t="s">
        <v>23</v>
      </c>
      <c r="H88" s="6" t="s">
        <v>24</v>
      </c>
      <c r="I88" s="6" t="s">
        <v>61</v>
      </c>
      <c r="J88" s="6" t="s">
        <v>68</v>
      </c>
      <c r="K88" s="6" t="s">
        <v>27</v>
      </c>
      <c r="L88" s="6" t="s">
        <v>28</v>
      </c>
      <c r="M88" s="7" t="s">
        <v>36</v>
      </c>
      <c r="N88" s="7" t="s">
        <v>30</v>
      </c>
      <c r="O88" s="4">
        <v>42</v>
      </c>
      <c r="P88">
        <v>1</v>
      </c>
      <c r="Q88" s="2">
        <v>1266</v>
      </c>
      <c r="R88" s="2">
        <v>2320</v>
      </c>
      <c r="S88" s="2">
        <v>1054</v>
      </c>
      <c r="T88" s="2">
        <f>P88*Q88</f>
        <v>1266</v>
      </c>
      <c r="U88" s="2">
        <f>P88*R88</f>
        <v>2320</v>
      </c>
    </row>
    <row r="89" spans="1:21">
      <c r="A89" s="3" t="s">
        <v>145</v>
      </c>
      <c r="B89" s="1">
        <v>44553</v>
      </c>
      <c r="C89">
        <v>23</v>
      </c>
      <c r="D89" t="s">
        <v>22</v>
      </c>
      <c r="E89">
        <v>2021</v>
      </c>
      <c r="F89">
        <v>35</v>
      </c>
      <c r="G89" s="6" t="s">
        <v>35</v>
      </c>
      <c r="H89" s="6" t="s">
        <v>24</v>
      </c>
      <c r="I89" s="6" t="s">
        <v>61</v>
      </c>
      <c r="J89" s="6" t="s">
        <v>62</v>
      </c>
      <c r="K89" s="6" t="s">
        <v>27</v>
      </c>
      <c r="L89" s="6" t="s">
        <v>28</v>
      </c>
      <c r="M89" s="7" t="s">
        <v>33</v>
      </c>
      <c r="N89" s="7" t="s">
        <v>40</v>
      </c>
      <c r="O89" s="4">
        <v>42</v>
      </c>
      <c r="P89">
        <v>1</v>
      </c>
      <c r="Q89" s="2">
        <v>295</v>
      </c>
      <c r="R89" s="2">
        <v>540</v>
      </c>
      <c r="S89" s="2">
        <v>245</v>
      </c>
      <c r="T89" s="2">
        <f>P89*Q89</f>
        <v>295</v>
      </c>
      <c r="U89" s="2">
        <f>P89*R89</f>
        <v>540</v>
      </c>
    </row>
  </sheetData>
  <sortState xmlns:xlrd2="http://schemas.microsoft.com/office/spreadsheetml/2017/richdata2" ref="A2:U89">
    <sortCondition ref="I2:I89"/>
  </sortState>
  <phoneticPr fontId="18" type="noConversion"/>
  <conditionalFormatting sqref="A1:A89 A91:A1048576">
    <cfRule type="duplicateValues" dxfId="18" priority="3"/>
  </conditionalFormatting>
  <conditionalFormatting sqref="Q1:R1048576">
    <cfRule type="cellIs" dxfId="17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FD57-20B2-4EA2-8D53-1E33E347829A}">
  <dimension ref="A3:B7"/>
  <sheetViews>
    <sheetView workbookViewId="0">
      <selection activeCell="B7" sqref="B7"/>
    </sheetView>
  </sheetViews>
  <sheetFormatPr defaultRowHeight="15"/>
  <cols>
    <col min="1" max="1" width="19.140625" bestFit="1" customWidth="1"/>
    <col min="2" max="2" width="15.28515625" bestFit="1" customWidth="1"/>
  </cols>
  <sheetData>
    <row r="3" spans="1:2">
      <c r="A3" s="10" t="s">
        <v>6</v>
      </c>
      <c r="B3" t="s">
        <v>146</v>
      </c>
    </row>
    <row r="4" spans="1:2">
      <c r="A4" t="s">
        <v>35</v>
      </c>
      <c r="B4" s="2">
        <v>205581</v>
      </c>
    </row>
    <row r="5" spans="1:2">
      <c r="A5" t="s">
        <v>23</v>
      </c>
      <c r="B5" s="2">
        <v>119646</v>
      </c>
    </row>
    <row r="6" spans="1:2">
      <c r="A6" t="s">
        <v>32</v>
      </c>
      <c r="B6" s="2">
        <v>37625</v>
      </c>
    </row>
    <row r="7" spans="1:2">
      <c r="A7" t="s">
        <v>147</v>
      </c>
      <c r="B7" s="2">
        <v>362852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F6F9-4627-4083-AF46-2870B7AADE7B}">
  <dimension ref="A3:E7"/>
  <sheetViews>
    <sheetView topLeftCell="A2" workbookViewId="0">
      <selection activeCell="A14" sqref="A14"/>
    </sheetView>
  </sheetViews>
  <sheetFormatPr defaultRowHeight="15"/>
  <cols>
    <col min="1" max="1" width="20.28515625" bestFit="1" customWidth="1"/>
    <col min="2" max="2" width="14" bestFit="1" customWidth="1"/>
    <col min="3" max="3" width="19.42578125" bestFit="1" customWidth="1"/>
    <col min="4" max="4" width="11.28515625" bestFit="1" customWidth="1"/>
    <col min="5" max="5" width="12.28515625" bestFit="1" customWidth="1"/>
  </cols>
  <sheetData>
    <row r="3" spans="1:5">
      <c r="A3" s="10" t="s">
        <v>146</v>
      </c>
      <c r="B3" s="10" t="s">
        <v>6</v>
      </c>
    </row>
    <row r="4" spans="1:5">
      <c r="A4" s="10" t="s">
        <v>7</v>
      </c>
      <c r="B4" t="s">
        <v>35</v>
      </c>
      <c r="C4" t="s">
        <v>23</v>
      </c>
      <c r="D4" t="s">
        <v>32</v>
      </c>
      <c r="E4" t="s">
        <v>147</v>
      </c>
    </row>
    <row r="5" spans="1:5">
      <c r="A5" t="s">
        <v>24</v>
      </c>
      <c r="B5" s="2">
        <v>117403</v>
      </c>
      <c r="C5" s="2">
        <v>79141</v>
      </c>
      <c r="D5" s="2">
        <v>21125</v>
      </c>
      <c r="E5" s="2">
        <v>217669</v>
      </c>
    </row>
    <row r="6" spans="1:5">
      <c r="A6" t="s">
        <v>46</v>
      </c>
      <c r="B6" s="2">
        <v>88178</v>
      </c>
      <c r="C6" s="2">
        <v>40505</v>
      </c>
      <c r="D6" s="2">
        <v>16500</v>
      </c>
      <c r="E6" s="2">
        <v>145183</v>
      </c>
    </row>
    <row r="7" spans="1:5">
      <c r="A7" t="s">
        <v>147</v>
      </c>
      <c r="B7" s="2">
        <v>205581</v>
      </c>
      <c r="C7" s="2">
        <v>119646</v>
      </c>
      <c r="D7" s="2">
        <v>37625</v>
      </c>
      <c r="E7" s="2">
        <v>362852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1426-2915-4520-9480-A64954525967}">
  <dimension ref="A3:D31"/>
  <sheetViews>
    <sheetView topLeftCell="A15" workbookViewId="0">
      <selection activeCell="B8" sqref="B8"/>
    </sheetView>
  </sheetViews>
  <sheetFormatPr defaultRowHeight="15"/>
  <cols>
    <col min="1" max="1" width="11.42578125" bestFit="1" customWidth="1"/>
    <col min="2" max="2" width="15.85546875" bestFit="1" customWidth="1"/>
    <col min="3" max="3" width="7.42578125" bestFit="1" customWidth="1"/>
    <col min="4" max="5" width="21.7109375" bestFit="1" customWidth="1"/>
  </cols>
  <sheetData>
    <row r="3" spans="1:4">
      <c r="A3" s="10" t="s">
        <v>13</v>
      </c>
      <c r="B3" s="10" t="s">
        <v>12</v>
      </c>
      <c r="C3" s="10" t="s">
        <v>14</v>
      </c>
      <c r="D3" t="s">
        <v>148</v>
      </c>
    </row>
    <row r="4" spans="1:4">
      <c r="A4" t="s">
        <v>40</v>
      </c>
      <c r="B4" t="s">
        <v>44</v>
      </c>
      <c r="C4">
        <v>38</v>
      </c>
      <c r="D4" s="11">
        <v>6</v>
      </c>
    </row>
    <row r="5" spans="1:4">
      <c r="C5">
        <v>48</v>
      </c>
      <c r="D5" s="11">
        <v>4</v>
      </c>
    </row>
    <row r="6" spans="1:4">
      <c r="B6" t="s">
        <v>149</v>
      </c>
      <c r="D6" s="11">
        <v>10</v>
      </c>
    </row>
    <row r="7" spans="1:4">
      <c r="B7" t="s">
        <v>36</v>
      </c>
      <c r="C7">
        <v>38</v>
      </c>
      <c r="D7" s="11">
        <v>27</v>
      </c>
    </row>
    <row r="8" spans="1:4">
      <c r="C8">
        <v>42</v>
      </c>
      <c r="D8" s="11">
        <v>18</v>
      </c>
    </row>
    <row r="9" spans="1:4">
      <c r="C9">
        <v>46</v>
      </c>
      <c r="D9" s="11">
        <v>31</v>
      </c>
    </row>
    <row r="10" spans="1:4">
      <c r="B10" t="s">
        <v>150</v>
      </c>
      <c r="D10" s="11">
        <v>76</v>
      </c>
    </row>
    <row r="11" spans="1:4">
      <c r="B11" t="s">
        <v>33</v>
      </c>
      <c r="C11">
        <v>40</v>
      </c>
      <c r="D11" s="11">
        <v>3</v>
      </c>
    </row>
    <row r="12" spans="1:4">
      <c r="C12">
        <v>42</v>
      </c>
      <c r="D12" s="11">
        <v>5</v>
      </c>
    </row>
    <row r="13" spans="1:4">
      <c r="C13">
        <v>44</v>
      </c>
      <c r="D13" s="11">
        <v>4</v>
      </c>
    </row>
    <row r="14" spans="1:4">
      <c r="C14">
        <v>52</v>
      </c>
      <c r="D14" s="11">
        <v>3</v>
      </c>
    </row>
    <row r="15" spans="1:4">
      <c r="B15" t="s">
        <v>151</v>
      </c>
      <c r="D15" s="11">
        <v>15</v>
      </c>
    </row>
    <row r="16" spans="1:4">
      <c r="A16" t="s">
        <v>152</v>
      </c>
      <c r="D16" s="11">
        <v>101</v>
      </c>
    </row>
    <row r="17" spans="1:4">
      <c r="A17" t="s">
        <v>30</v>
      </c>
      <c r="B17" t="s">
        <v>44</v>
      </c>
      <c r="C17">
        <v>44</v>
      </c>
      <c r="D17" s="11">
        <v>1</v>
      </c>
    </row>
    <row r="18" spans="1:4">
      <c r="B18" t="s">
        <v>149</v>
      </c>
      <c r="D18" s="11">
        <v>1</v>
      </c>
    </row>
    <row r="19" spans="1:4">
      <c r="B19" t="s">
        <v>36</v>
      </c>
      <c r="C19">
        <v>38</v>
      </c>
      <c r="D19" s="11">
        <v>25</v>
      </c>
    </row>
    <row r="20" spans="1:4">
      <c r="C20">
        <v>42</v>
      </c>
      <c r="D20" s="11">
        <v>15</v>
      </c>
    </row>
    <row r="21" spans="1:4">
      <c r="C21">
        <v>46</v>
      </c>
      <c r="D21" s="11">
        <v>10</v>
      </c>
    </row>
    <row r="22" spans="1:4">
      <c r="B22" t="s">
        <v>150</v>
      </c>
      <c r="D22" s="11">
        <v>50</v>
      </c>
    </row>
    <row r="23" spans="1:4">
      <c r="B23" t="s">
        <v>29</v>
      </c>
      <c r="C23">
        <v>38</v>
      </c>
      <c r="D23" s="11">
        <v>6</v>
      </c>
    </row>
    <row r="24" spans="1:4">
      <c r="C24">
        <v>42</v>
      </c>
      <c r="D24" s="11">
        <v>9</v>
      </c>
    </row>
    <row r="25" spans="1:4">
      <c r="C25">
        <v>46</v>
      </c>
      <c r="D25" s="11">
        <v>13</v>
      </c>
    </row>
    <row r="26" spans="1:4">
      <c r="B26" t="s">
        <v>153</v>
      </c>
      <c r="D26" s="11">
        <v>28</v>
      </c>
    </row>
    <row r="27" spans="1:4">
      <c r="B27" t="s">
        <v>33</v>
      </c>
      <c r="C27">
        <v>40</v>
      </c>
      <c r="D27" s="11">
        <v>1</v>
      </c>
    </row>
    <row r="28" spans="1:4">
      <c r="C28">
        <v>42</v>
      </c>
      <c r="D28" s="11">
        <v>9</v>
      </c>
    </row>
    <row r="29" spans="1:4">
      <c r="B29" t="s">
        <v>151</v>
      </c>
      <c r="D29" s="11">
        <v>10</v>
      </c>
    </row>
    <row r="30" spans="1:4">
      <c r="A30" t="s">
        <v>154</v>
      </c>
      <c r="D30" s="11">
        <v>89</v>
      </c>
    </row>
    <row r="31" spans="1:4">
      <c r="A31" t="s">
        <v>147</v>
      </c>
      <c r="D31" s="11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AF91-B39F-47E7-A784-E2CC49E60721}">
  <dimension ref="A3:I51"/>
  <sheetViews>
    <sheetView workbookViewId="0">
      <selection activeCell="D5" sqref="D5"/>
    </sheetView>
  </sheetViews>
  <sheetFormatPr defaultRowHeight="15"/>
  <cols>
    <col min="1" max="1" width="15" bestFit="1" customWidth="1"/>
    <col min="2" max="2" width="21.7109375" bestFit="1" customWidth="1"/>
    <col min="3" max="4" width="15.28515625" bestFit="1" customWidth="1"/>
    <col min="5" max="5" width="9" bestFit="1" customWidth="1"/>
    <col min="6" max="6" width="7.42578125" bestFit="1" customWidth="1"/>
    <col min="7" max="7" width="15.28515625" bestFit="1" customWidth="1"/>
    <col min="8" max="8" width="12.140625" bestFit="1" customWidth="1"/>
    <col min="9" max="9" width="36.5703125" bestFit="1" customWidth="1"/>
    <col min="10" max="10" width="15.28515625" bestFit="1" customWidth="1"/>
    <col min="11" max="12" width="11.140625" bestFit="1" customWidth="1"/>
    <col min="13" max="13" width="26.7109375" bestFit="1" customWidth="1"/>
    <col min="14" max="16" width="20.28515625" bestFit="1" customWidth="1"/>
    <col min="17" max="17" width="14.7109375" bestFit="1" customWidth="1"/>
    <col min="18" max="18" width="5.42578125" bestFit="1" customWidth="1"/>
    <col min="19" max="19" width="17.85546875" bestFit="1" customWidth="1"/>
    <col min="20" max="20" width="15.28515625" bestFit="1" customWidth="1"/>
    <col min="21" max="21" width="11.140625" bestFit="1" customWidth="1"/>
    <col min="22" max="22" width="13.85546875" bestFit="1" customWidth="1"/>
    <col min="23" max="23" width="11.140625" bestFit="1" customWidth="1"/>
    <col min="24" max="24" width="10" bestFit="1" customWidth="1"/>
    <col min="25" max="25" width="12.42578125" bestFit="1" customWidth="1"/>
    <col min="26" max="27" width="11.140625" bestFit="1" customWidth="1"/>
    <col min="28" max="28" width="11.85546875" bestFit="1" customWidth="1"/>
    <col min="29" max="30" width="11.140625" bestFit="1" customWidth="1"/>
    <col min="31" max="31" width="14" bestFit="1" customWidth="1"/>
    <col min="32" max="32" width="17.140625" bestFit="1" customWidth="1"/>
    <col min="33" max="33" width="11.140625" bestFit="1" customWidth="1"/>
    <col min="34" max="34" width="20.28515625" bestFit="1" customWidth="1"/>
    <col min="35" max="35" width="14.7109375" bestFit="1" customWidth="1"/>
    <col min="36" max="36" width="11.140625" bestFit="1" customWidth="1"/>
    <col min="37" max="37" width="17.85546875" bestFit="1" customWidth="1"/>
    <col min="38" max="38" width="26.7109375" bestFit="1" customWidth="1"/>
    <col min="39" max="39" width="20.28515625" bestFit="1" customWidth="1"/>
  </cols>
  <sheetData>
    <row r="3" spans="1:3">
      <c r="A3" s="10" t="s">
        <v>8</v>
      </c>
      <c r="B3" t="s">
        <v>148</v>
      </c>
      <c r="C3" t="s">
        <v>146</v>
      </c>
    </row>
    <row r="4" spans="1:3">
      <c r="A4" t="s">
        <v>61</v>
      </c>
      <c r="B4" s="11">
        <v>69</v>
      </c>
      <c r="C4" s="2">
        <v>135109</v>
      </c>
    </row>
    <row r="5" spans="1:3">
      <c r="A5" t="s">
        <v>25</v>
      </c>
      <c r="B5" s="11">
        <v>63</v>
      </c>
      <c r="C5" s="2">
        <v>111506</v>
      </c>
    </row>
    <row r="6" spans="1:3">
      <c r="A6" t="s">
        <v>52</v>
      </c>
      <c r="B6" s="11">
        <v>20</v>
      </c>
      <c r="C6" s="2">
        <v>46175</v>
      </c>
    </row>
    <row r="7" spans="1:3">
      <c r="A7" t="s">
        <v>79</v>
      </c>
      <c r="B7" s="11">
        <v>14</v>
      </c>
      <c r="C7" s="2">
        <v>19972</v>
      </c>
    </row>
    <row r="8" spans="1:3">
      <c r="A8" t="s">
        <v>57</v>
      </c>
      <c r="B8" s="11">
        <v>13</v>
      </c>
      <c r="C8" s="2">
        <v>30010</v>
      </c>
    </row>
    <row r="9" spans="1:3">
      <c r="A9" t="s">
        <v>49</v>
      </c>
      <c r="B9" s="11">
        <v>11</v>
      </c>
      <c r="C9" s="2">
        <v>20080</v>
      </c>
    </row>
    <row r="10" spans="1:3">
      <c r="A10" t="s">
        <v>147</v>
      </c>
      <c r="B10" s="11">
        <v>190</v>
      </c>
      <c r="C10" s="2">
        <v>362852</v>
      </c>
    </row>
    <row r="51" spans="9:9">
      <c r="I51" s="13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70F1-AC44-41C9-ABC2-142D075949DF}">
  <dimension ref="B1:G33"/>
  <sheetViews>
    <sheetView tabSelected="1" topLeftCell="A19" workbookViewId="0">
      <selection activeCell="D34" sqref="D34"/>
    </sheetView>
  </sheetViews>
  <sheetFormatPr defaultRowHeight="15"/>
  <cols>
    <col min="2" max="2" width="12.5703125" bestFit="1" customWidth="1"/>
  </cols>
  <sheetData>
    <row r="1" spans="7:7" ht="46.5">
      <c r="G1" s="12" t="s">
        <v>155</v>
      </c>
    </row>
    <row r="33" spans="2:2">
      <c r="B33" s="14" t="s">
        <v>156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/>
</file>

<file path=customXml/itemProps2.xml><?xml version="1.0" encoding="utf-8"?>
<ds:datastoreItem xmlns:ds="http://schemas.openxmlformats.org/officeDocument/2006/customXml" ds:itemID="{B0E83AF8-2C50-4089-9716-0DC4D6C9EB5B}"/>
</file>

<file path=customXml/itemProps3.xml><?xml version="1.0" encoding="utf-8"?>
<ds:datastoreItem xmlns:ds="http://schemas.openxmlformats.org/officeDocument/2006/customXml" ds:itemID="{6A77C7D5-983C-4B15-A63B-38F48A7EA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2026-04-29T04:03:18Z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